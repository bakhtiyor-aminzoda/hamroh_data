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казы 2023" sheetId="1" r:id="rId5"/>
    <sheet state="visible" name="Заказы 2024" sheetId="2" r:id="rId6"/>
    <sheet state="visible" name="Заказы 2025" sheetId="3" r:id="rId7"/>
    <sheet state="visible" name="Заказы 2026" sheetId="4" r:id="rId8"/>
    <sheet state="visible" name="Анализ 2025-2026" sheetId="5" r:id="rId9"/>
    <sheet state="visible" name="Диаграммы 2023-2024" sheetId="6" r:id="rId10"/>
    <sheet state="visible" name="Анализ 2023-2024" sheetId="7" r:id="rId11"/>
    <sheet state="visible" name="Диаграммы 2024-2025" sheetId="8" r:id="rId12"/>
    <sheet state="visible" name="Анализ 2024-2025" sheetId="9" r:id="rId13"/>
    <sheet state="visible" name="Анализ рынка Ойбек" sheetId="10" r:id="rId14"/>
  </sheets>
  <definedNames/>
  <calcPr/>
</workbook>
</file>

<file path=xl/sharedStrings.xml><?xml version="1.0" encoding="utf-8"?>
<sst xmlns="http://schemas.openxmlformats.org/spreadsheetml/2006/main" count="992" uniqueCount="250">
  <si>
    <t xml:space="preserve">  </t>
  </si>
  <si>
    <t>Количество заказов за 2023</t>
  </si>
  <si>
    <t>Количество реальных заказов за 2026</t>
  </si>
  <si>
    <t>Индикаторы</t>
  </si>
  <si>
    <t>Январь</t>
  </si>
  <si>
    <t>Количество реальных заказов за 2025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</si>
  <si>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</si>
  <si>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</si>
  <si>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</si>
  <si>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</si>
  <si>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</si>
  <si>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</si>
  <si>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</si>
  <si>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</si>
  <si>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</si>
  <si>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</si>
  <si>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</si>
  <si>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</si>
  <si>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Кол-во заказов общие</t>
  </si>
  <si>
    <t>Количество реальных заказов за 2024</t>
  </si>
  <si>
    <t>Сентябр</t>
  </si>
  <si>
    <t>Октябр</t>
  </si>
  <si>
    <t>Ноябр</t>
  </si>
  <si>
    <t>Декабр</t>
  </si>
  <si>
    <t>Итого 2023</t>
  </si>
  <si>
    <t>48 % повторные заказы</t>
  </si>
  <si>
    <t>Кол-во заказов пассажиров</t>
  </si>
  <si>
    <t>Кол-во заказов водителей</t>
  </si>
  <si>
    <t>Кол-во зарегистрированных пользователей сервиса</t>
  </si>
  <si>
    <t>Кол-во пользователей канала</t>
  </si>
  <si>
    <t>?</t>
  </si>
  <si>
    <t>Кол-во посещений сайта</t>
  </si>
  <si>
    <t>гугл аналитика не был подключен к сайту</t>
  </si>
  <si>
    <t>Январь 2023:</t>
  </si>
  <si>
    <t>Сумма сбора (сомони)</t>
  </si>
  <si>
    <t>Водитель: 24</t>
  </si>
  <si>
    <t>Пассажир: 32</t>
  </si>
  <si>
    <t>Февраль 2023:</t>
  </si>
  <si>
    <t>Водитель: 2</t>
  </si>
  <si>
    <t>Пассажир: 6</t>
  </si>
  <si>
    <t>Март 2023:</t>
  </si>
  <si>
    <t>Водитель: 46</t>
  </si>
  <si>
    <t>Пассажир: 48</t>
  </si>
  <si>
    <t>Апрель 2023:</t>
  </si>
  <si>
    <t>Комиссия</t>
  </si>
  <si>
    <t>Водитель: 71</t>
  </si>
  <si>
    <t>Пассажир: 44</t>
  </si>
  <si>
    <t>Май 2023:</t>
  </si>
  <si>
    <t>Водитель: 134</t>
  </si>
  <si>
    <t>Пассажир: 111</t>
  </si>
  <si>
    <t>Июнь 2023:</t>
  </si>
  <si>
    <t>Водитель: 174</t>
  </si>
  <si>
    <t>Пассажир: 132</t>
  </si>
  <si>
    <t>Июль 2023:</t>
  </si>
  <si>
    <t>Водитель: 254</t>
  </si>
  <si>
    <t>Пассажир: 108</t>
  </si>
  <si>
    <t>Август 2023:</t>
  </si>
  <si>
    <t>Водитель: 310</t>
  </si>
  <si>
    <t>Пассажир: 131</t>
  </si>
  <si>
    <t>Сентябрь 2023:</t>
  </si>
  <si>
    <t>Водитель: 182</t>
  </si>
  <si>
    <t>Пассажир: 53</t>
  </si>
  <si>
    <t>Выполнено</t>
  </si>
  <si>
    <t>Отменено</t>
  </si>
  <si>
    <t>Прочее</t>
  </si>
  <si>
    <t xml:space="preserve"> </t>
  </si>
  <si>
    <t>Количество заказов за 2024</t>
  </si>
  <si>
    <t>Индикаторы
Месяц</t>
  </si>
  <si>
    <t xml:space="preserve">Кол-во заказов общие 2024 </t>
  </si>
  <si>
    <t xml:space="preserve">Кол-во зарегистрированных пользователей сервиса 2025 </t>
  </si>
  <si>
    <t xml:space="preserve">Кол-во заказов общие 2025 </t>
  </si>
  <si>
    <t>Кол-во зарегистрированных пользователей сервиса 2025</t>
  </si>
  <si>
    <t>Кол-во общих заказов за 1-е полугодие</t>
  </si>
  <si>
    <t>Кол-во заказов водителей за 1-е полугодие</t>
  </si>
  <si>
    <t>Кол-во заказов пассажиров  за 1-е полугодие</t>
  </si>
  <si>
    <t>Кол-во зарегистрированных пользователей сервиса за 1-е полугодие</t>
  </si>
  <si>
    <t>Кол-во посещений сайта за 1-е полугодие</t>
  </si>
  <si>
    <t>Сумма сбора (сомони) за 1-е полугодие</t>
  </si>
  <si>
    <t>Маршруты заказов водителей 2024</t>
  </si>
  <si>
    <t>Кол-во</t>
  </si>
  <si>
    <t>Душанбе - Худжанд</t>
  </si>
  <si>
    <t>Худжанд - Душанбе</t>
  </si>
  <si>
    <t>Худжанд - Ойбек</t>
  </si>
  <si>
    <t>Душанбе - Ойбек</t>
  </si>
  <si>
    <t>Ойбек - Худжанд</t>
  </si>
  <si>
    <t>Истаравшан - Худжанд</t>
  </si>
  <si>
    <t>Худжанд - Истаравшан</t>
  </si>
  <si>
    <t>Душанбе - Панджакент</t>
  </si>
  <si>
    <t>Панджакент - Душанбе</t>
  </si>
  <si>
    <t>Душанбе - Истаравшан</t>
  </si>
  <si>
    <t>Истаравшан - Душанбе</t>
  </si>
  <si>
    <t>Панджакент - Худжанд</t>
  </si>
  <si>
    <t>Душанбе - Исфара</t>
  </si>
  <si>
    <t>Худжанд - Панджакент</t>
  </si>
  <si>
    <t>Ойбек - Душанбе</t>
  </si>
  <si>
    <t>Душанбе - Канибадам</t>
  </si>
  <si>
    <t>Душанбе - Пенджикент</t>
  </si>
  <si>
    <t>Душанбе - Сафед Дара</t>
  </si>
  <si>
    <t>Бустон (Чкаловск) - Ойбек</t>
  </si>
  <si>
    <t>Худжанд - Бyстон</t>
  </si>
  <si>
    <t>Канибадам - Худжанд</t>
  </si>
  <si>
    <t>Исфара - Душанбе</t>
  </si>
  <si>
    <t>Душанбе - Ташкент</t>
  </si>
  <si>
    <t>Худжанд - Ганчи</t>
  </si>
  <si>
    <t>Канибадам - Душанбе</t>
  </si>
  <si>
    <t>Пенджикент - Душанбе</t>
  </si>
  <si>
    <t>Худжанд - Исфара</t>
  </si>
  <si>
    <t>Худжанд - Ташкент</t>
  </si>
  <si>
    <t>Исфара - Худжанд</t>
  </si>
  <si>
    <t>Худжанд - Канибадам</t>
  </si>
  <si>
    <t>Худжанд - Матчинский район</t>
  </si>
  <si>
    <t>Ташкент - Душанбе</t>
  </si>
  <si>
    <t>Худжанд - Спитамен</t>
  </si>
  <si>
    <t>Душанбе - Ашт</t>
  </si>
  <si>
    <t>Душанбе - Айни</t>
  </si>
  <si>
    <t>Худжанд - Ашт</t>
  </si>
  <si>
    <t>Душанбе - Спитамен</t>
  </si>
  <si>
    <t>Бустон (Чкаловск) - Душанбе</t>
  </si>
  <si>
    <t>Ашт - Душанбе</t>
  </si>
  <si>
    <t>Душанбе - Куляб</t>
  </si>
  <si>
    <t>Бyстон - Худжанд</t>
  </si>
  <si>
    <t>Спитамен - Худжанд</t>
  </si>
  <si>
    <t>Истаравшан - Канибадам</t>
  </si>
  <si>
    <t>Худжанд - Айни</t>
  </si>
  <si>
    <t>Ганчи - Худжанд</t>
  </si>
  <si>
    <t>Душанбе - Бохтар (Кургантюбе)</t>
  </si>
  <si>
    <t>Истаравшан - Бустон (Чкаловск)</t>
  </si>
  <si>
    <t>Бустон (Чкаловск) - Ташкент</t>
  </si>
  <si>
    <t>Худжанд - Зафарабад</t>
  </si>
  <si>
    <t>Матчинский район - Худжанд</t>
  </si>
  <si>
    <t>Истаравшан - Ойбек</t>
  </si>
  <si>
    <t>Бустон (Чкаловск) - Гулистон (Кайракум)</t>
  </si>
  <si>
    <t>Матчинский район - Душанбе</t>
  </si>
  <si>
    <t>Бустон (Чкаловск) - Истиклол (Табошар)</t>
  </si>
  <si>
    <t>Спитамен - Душанбе</t>
  </si>
  <si>
    <t>Худжанд - Шахристан</t>
  </si>
  <si>
    <t>Душанбе - Матчинский район</t>
  </si>
  <si>
    <t>Душанбе - Муъминабад</t>
  </si>
  <si>
    <t>Дж. Расулов - Душанбе</t>
  </si>
  <si>
    <t>Душанбе - Турсунзаде</t>
  </si>
  <si>
    <t>Душанбе - Гулистон (Кайракум)</t>
  </si>
  <si>
    <t>Пенджикент - Худжанд</t>
  </si>
  <si>
    <t>Худжанд - Пенджикент</t>
  </si>
  <si>
    <t>Дж. Расулов - Худжанд</t>
  </si>
  <si>
    <t>Бустон (Чкаловск) - Файзабад</t>
  </si>
  <si>
    <t>Истаравшан - Зафарабад</t>
  </si>
  <si>
    <t>Ашт - Ташкент</t>
  </si>
  <si>
    <t>Айни - Худжанд</t>
  </si>
  <si>
    <t>Худжанд - Хорог</t>
  </si>
  <si>
    <t>Душанбе - Хорог</t>
  </si>
  <si>
    <t>Ашт - Зафарабад</t>
  </si>
  <si>
    <t>Истаравшан - Исфара</t>
  </si>
  <si>
    <t>Истиклол (Табошар) - Б. Гафуров</t>
  </si>
  <si>
    <t>Гулистон (Кайракум) - Истиклол (Табошар)</t>
  </si>
  <si>
    <t>Шахристан - Б. Гафуров</t>
  </si>
  <si>
    <t>Бустон (Чкаловск) - Дж. Расулов</t>
  </si>
  <si>
    <t>Истаравшан - Спитамен</t>
  </si>
  <si>
    <t>Душанбе - А. Джоми (Куйбеш/Ходжамастон)</t>
  </si>
  <si>
    <t>Б. Гафуров - Худжанд</t>
  </si>
  <si>
    <t xml:space="preserve">Итого </t>
  </si>
  <si>
    <t>Ойбек - Истаравшан</t>
  </si>
  <si>
    <t>Ташкент - Исфара</t>
  </si>
  <si>
    <t>Бохтар (Кургантюбе) - Душанбе</t>
  </si>
  <si>
    <t>Ганчи - Панджакент</t>
  </si>
  <si>
    <t>Б. Гафуров - Ойбек</t>
  </si>
  <si>
    <t>Рогун - Душанбе</t>
  </si>
  <si>
    <t>Душанбе - Гиссар</t>
  </si>
  <si>
    <t>Истаравшан - Панджакент</t>
  </si>
  <si>
    <t>Исфара - Канибадам</t>
  </si>
  <si>
    <t>Шахринау - Гиссар</t>
  </si>
  <si>
    <t>Хорог - Душанбе</t>
  </si>
  <si>
    <t>Файзабад - Рогун</t>
  </si>
  <si>
    <t>Худжанд - Рушан</t>
  </si>
  <si>
    <t>Худжанд - А. Ҷомӣ</t>
  </si>
  <si>
    <t>Душанбе - Дангара</t>
  </si>
  <si>
    <t>Дарваз - Вахш</t>
  </si>
  <si>
    <t>Нурабад - Дангара</t>
  </si>
  <si>
    <t>Канибадам - Рогун</t>
  </si>
  <si>
    <t>Душанбе - Зафарабад</t>
  </si>
  <si>
    <t>Б. Ғафуров - Ойбек</t>
  </si>
  <si>
    <t>Нурек - Левакант</t>
  </si>
  <si>
    <t>Нурек - Дангара</t>
  </si>
  <si>
    <t>Нурек - Худжанд</t>
  </si>
  <si>
    <t>Б. Гафуров - Душанбе</t>
  </si>
  <si>
    <t>Душанбе - Вахдат</t>
  </si>
  <si>
    <t>Душанбе - Бyстон</t>
  </si>
  <si>
    <t>Бyстон - Канибадам</t>
  </si>
  <si>
    <t>Маршруты заказов пассажиров 2024</t>
  </si>
  <si>
    <t>Месяц</t>
  </si>
  <si>
    <t>Бyстон - Истиклол (Табошар)</t>
  </si>
  <si>
    <t>Зафарабад - Душанбе</t>
  </si>
  <si>
    <t>Ташкент - Худжанд</t>
  </si>
  <si>
    <t>Айни - Душанбе</t>
  </si>
  <si>
    <t>Бyстон - Гулистон</t>
  </si>
  <si>
    <t>Бyстон - Дж. Расулов</t>
  </si>
  <si>
    <t>Бyстон - Душанбе</t>
  </si>
  <si>
    <t>Душанбе - Хулбук (Восеъ)</t>
  </si>
  <si>
    <t>Зафарабад - Худжанд</t>
  </si>
  <si>
    <t>Канибадам - Ойбек</t>
  </si>
  <si>
    <t>Спитамен - Истаравшан</t>
  </si>
  <si>
    <t>Худжанд - Бохтар</t>
  </si>
  <si>
    <t>Ашт - Айни</t>
  </si>
  <si>
    <t>Б. Ғафуров - Бохтар</t>
  </si>
  <si>
    <t>Год</t>
  </si>
  <si>
    <t>Бyстон - Шахристан</t>
  </si>
  <si>
    <t>Ванҷ - Левакант</t>
  </si>
  <si>
    <t>Вахдат - Ганчи</t>
  </si>
  <si>
    <t>Вахдат - Гулистон</t>
  </si>
  <si>
    <t>Вахш - Вяндж</t>
  </si>
  <si>
    <t>Гиссар - Ганчи</t>
  </si>
  <si>
    <t>Гулистон - Ишкашим</t>
  </si>
  <si>
    <t>Душанбе - Ванҷ</t>
  </si>
  <si>
    <t>Душанбе - Вяндж</t>
  </si>
  <si>
    <t>Душанбе - Ганчи</t>
  </si>
  <si>
    <t>Душанбе - Нурек</t>
  </si>
  <si>
    <t>Душанбе - Рашт (Гарм)</t>
  </si>
  <si>
    <t>Душанбе - Фархар</t>
  </si>
  <si>
    <t>Истаравшан - Б. Гафуров</t>
  </si>
  <si>
    <t>Истаравшан - Пенджикент</t>
  </si>
  <si>
    <t>Истаравшан - Ташкент</t>
  </si>
  <si>
    <t>Исфара - Ванҷ</t>
  </si>
  <si>
    <t>Канибадам - Гулистон</t>
  </si>
  <si>
    <t>Куляб - Фархар</t>
  </si>
  <si>
    <t>Матчинский район - Пенджикент</t>
  </si>
  <si>
    <t>Пенджикент - Истаравшан</t>
  </si>
  <si>
    <t>Худжанд - Дж. Расулов</t>
  </si>
  <si>
    <t>Худжанд - Ишкашим</t>
  </si>
  <si>
    <t>Худжанд - Куляб</t>
  </si>
  <si>
    <t>Худжанд - Шамсиддин Шохин (Шураабад)</t>
  </si>
  <si>
    <t>Шахристан - Горно-Матчинский район</t>
  </si>
  <si>
    <t>Шугнан - Бyстон</t>
  </si>
  <si>
    <t>Кол-во уникальных водителей</t>
  </si>
  <si>
    <t>Кол-во уникальных пассажиров</t>
  </si>
  <si>
    <t>До Ойбек Апрель</t>
  </si>
  <si>
    <t>до ойбек Май</t>
  </si>
  <si>
    <t>до ойбек Июнь</t>
  </si>
  <si>
    <t>от Ойбек апрель</t>
  </si>
  <si>
    <t>Кол-во заказов общие 2024</t>
  </si>
  <si>
    <t>Кол-во заказов пассажиров 2024</t>
  </si>
  <si>
    <t>Кол-во заказов водителей 2024</t>
  </si>
  <si>
    <t>Кол-во зарегистрированных пользователей сервиса 2024</t>
  </si>
  <si>
    <t>От Ойбек май</t>
  </si>
  <si>
    <t>Кол-во заказов общие 2025</t>
  </si>
  <si>
    <t>Кол-во заказов пассажиров 2025</t>
  </si>
  <si>
    <t xml:space="preserve">от Ойбек Июнь </t>
  </si>
  <si>
    <t xml:space="preserve">Кол-во общих заказов за 1-й квартал </t>
  </si>
  <si>
    <t xml:space="preserve">Кол-во заказов водителей за 1-й квартал </t>
  </si>
  <si>
    <t xml:space="preserve">Кол-во заказов пассажиров  за 1-й квартал </t>
  </si>
  <si>
    <t xml:space="preserve">Кол-во зарегистрированных пользователей сервиса за 1-й квартал </t>
  </si>
  <si>
    <t>Индикаторы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</si>
</sst>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b/>
      <sz val="13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sz val="9.0"/>
      <color theme="1"/>
      <name val="Arial"/>
    </font>
    <font>
      <sz val="9.0"/>
      <color theme="1"/>
      <name val="Google Sans Mono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color rgb="FF000000"/>
      <name val="Arial"/>
      <scheme val="minor"/>
    </font>
    <font>
      <sz val="9.0"/>
      <color rgb="FF000000"/>
      <name val="&quot;Google Sans Mono&quot;"/>
    </font>
    <font>
      <b/>
      <sz val="11.0"/>
      <color theme="1"/>
      <name val="Times New Roman"/>
    </font>
    <font>
      <b/>
      <sz val="12.0"/>
      <color theme="1"/>
      <name val="Arial"/>
      <scheme val="minor"/>
    </font>
    <font>
      <sz val="11.0"/>
      <color theme="1"/>
      <name val="Times New Roman"/>
    </font>
    <font>
      <b/>
      <color theme="1"/>
      <name val="Times New Roman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sz val="9.0"/>
      <color theme="1"/>
      <name val="&quot;Google Sans Mono&quot;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 shrinkToFit="0" wrapText="1"/>
    </xf>
    <xf borderId="5" fillId="2" fontId="2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5" fillId="2" fontId="2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3" fontId="2" numFmtId="0" xfId="0" applyAlignment="1" applyBorder="1" applyFill="1" applyFont="1">
      <alignment vertical="bottom"/>
    </xf>
    <xf borderId="6" fillId="0" fontId="5" numFmtId="0" xfId="0" applyAlignment="1" applyBorder="1" applyFont="1">
      <alignment readingOrder="0" vertical="bottom"/>
    </xf>
    <xf borderId="5" fillId="3" fontId="2" numFmtId="0" xfId="0" applyAlignment="1" applyBorder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6" fillId="3" fontId="5" numFmtId="0" xfId="0" applyAlignment="1" applyBorder="1" applyFill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7" fillId="0" fontId="9" numFmtId="0" xfId="0" applyAlignment="1" applyBorder="1" applyFont="1">
      <alignment horizontal="right" vertical="bottom"/>
    </xf>
    <xf borderId="0" fillId="4" fontId="2" numFmtId="0" xfId="0" applyAlignment="1" applyFill="1" applyFont="1">
      <alignment vertical="bottom"/>
    </xf>
    <xf borderId="0" fillId="0" fontId="1" numFmtId="9" xfId="0" applyAlignment="1" applyFont="1" applyNumberFormat="1">
      <alignment readingOrder="0"/>
    </xf>
    <xf borderId="5" fillId="5" fontId="9" numFmtId="0" xfId="0" applyAlignment="1" applyBorder="1" applyFill="1" applyFont="1">
      <alignment horizontal="right" vertical="bottom"/>
    </xf>
    <xf borderId="7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 shrinkToFit="0" vertical="bottom" wrapText="1"/>
    </xf>
    <xf borderId="6" fillId="0" fontId="5" numFmtId="0" xfId="0" applyAlignment="1" applyBorder="1" applyFont="1">
      <alignment vertical="bottom"/>
    </xf>
    <xf borderId="7" fillId="0" fontId="9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shrinkToFit="0" vertical="bottom" wrapText="1"/>
    </xf>
    <xf borderId="5" fillId="6" fontId="5" numFmtId="0" xfId="0" applyAlignment="1" applyBorder="1" applyFill="1" applyFont="1">
      <alignment readingOrder="0" shrinkToFit="0" vertical="center" wrapText="1"/>
    </xf>
    <xf borderId="5" fillId="0" fontId="5" numFmtId="0" xfId="0" applyAlignment="1" applyBorder="1" applyFont="1">
      <alignment horizontal="right" readingOrder="0" vertical="center"/>
    </xf>
    <xf borderId="7" fillId="7" fontId="10" numFmtId="0" xfId="0" applyAlignment="1" applyBorder="1" applyFill="1" applyFont="1">
      <alignment horizontal="right" vertical="bottom"/>
    </xf>
    <xf borderId="5" fillId="0" fontId="11" numFmtId="1" xfId="0" applyAlignment="1" applyBorder="1" applyFont="1" applyNumberFormat="1">
      <alignment horizontal="right" vertical="bottom"/>
    </xf>
    <xf borderId="7" fillId="0" fontId="5" numFmtId="1" xfId="0" applyAlignment="1" applyBorder="1" applyFont="1" applyNumberFormat="1">
      <alignment horizontal="right" vertical="bottom"/>
    </xf>
    <xf borderId="5" fillId="0" fontId="12" numFmtId="1" xfId="0" applyAlignment="1" applyBorder="1" applyFont="1" applyNumberFormat="1">
      <alignment horizontal="right" vertical="bottom"/>
    </xf>
    <xf borderId="5" fillId="0" fontId="9" numFmtId="0" xfId="0" applyAlignment="1" applyBorder="1" applyFont="1">
      <alignment horizontal="right" vertical="bottom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right" vertical="center"/>
    </xf>
    <xf borderId="7" fillId="0" fontId="5" numFmtId="1" xfId="0" applyAlignment="1" applyBorder="1" applyFont="1" applyNumberFormat="1">
      <alignment readingOrder="0" vertical="bottom"/>
    </xf>
    <xf borderId="5" fillId="6" fontId="5" numFmtId="0" xfId="0" applyAlignment="1" applyBorder="1" applyFill="1" applyFont="1">
      <alignment vertical="bottom"/>
    </xf>
    <xf borderId="5" fillId="0" fontId="11" numFmtId="1" xfId="0" applyAlignment="1" applyBorder="1" applyFont="1" applyNumberFormat="1">
      <alignment readingOrder="0"/>
    </xf>
    <xf borderId="0" fillId="0" fontId="1" numFmtId="10" xfId="0" applyFont="1" applyNumberFormat="1"/>
    <xf borderId="5" fillId="0" fontId="11" numFmtId="1" xfId="0" applyAlignment="1" applyBorder="1" applyFont="1" applyNumberFormat="1">
      <alignment horizontal="right" readingOrder="0" vertical="bottom"/>
    </xf>
    <xf borderId="7" fillId="0" fontId="2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center" vertical="bottom"/>
    </xf>
    <xf borderId="7" fillId="0" fontId="3" numFmtId="0" xfId="0" applyBorder="1" applyFont="1"/>
    <xf borderId="5" fillId="0" fontId="7" numFmtId="0" xfId="0" applyAlignment="1" applyBorder="1" applyFont="1">
      <alignment vertical="bottom"/>
    </xf>
    <xf borderId="0" fillId="0" fontId="8" numFmtId="1" xfId="0" applyAlignment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right" vertical="bottom"/>
    </xf>
    <xf borderId="0" fillId="0" fontId="2" numFmtId="0" xfId="0" applyAlignment="1" applyFont="1">
      <alignment horizontal="center" readingOrder="0" vertical="center"/>
    </xf>
    <xf borderId="5" fillId="0" fontId="8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/>
    </xf>
    <xf borderId="0" fillId="0" fontId="13" numFmtId="0" xfId="0" applyAlignment="1" applyFont="1">
      <alignment readingOrder="0" shrinkToFit="0" wrapText="1"/>
    </xf>
    <xf borderId="5" fillId="0" fontId="1" numFmtId="0" xfId="0" applyBorder="1" applyFont="1"/>
    <xf borderId="0" fillId="0" fontId="2" numFmtId="0" xfId="0" applyAlignment="1" applyFont="1">
      <alignment readingOrder="0" vertical="bottom"/>
    </xf>
    <xf borderId="5" fillId="0" fontId="14" numFmtId="0" xfId="0" applyAlignment="1" applyBorder="1" applyFont="1">
      <alignment horizontal="left" readingOrder="0" shrinkToFit="0" wrapText="1"/>
    </xf>
    <xf borderId="7" fillId="7" fontId="10" numFmtId="0" xfId="0" applyAlignment="1" applyBorder="1" applyFill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3" fontId="5" numFmtId="0" xfId="0" applyAlignment="1" applyBorder="1" applyFill="1" applyFont="1">
      <alignment readingOrder="0" vertical="bottom"/>
    </xf>
    <xf borderId="5" fillId="8" fontId="5" numFmtId="0" xfId="0" applyAlignment="1" applyBorder="1" applyFill="1" applyFont="1">
      <alignment horizontal="right" readingOrder="0" vertical="bottom"/>
    </xf>
    <xf borderId="5" fillId="8" fontId="5" numFmtId="0" xfId="0" applyAlignment="1" applyBorder="1" applyFill="1" applyFont="1">
      <alignment readingOrder="0"/>
    </xf>
    <xf borderId="5" fillId="8" fontId="5" numFmtId="0" xfId="0" applyAlignment="1" applyBorder="1" applyFill="1" applyFont="1">
      <alignment horizontal="right" vertical="bottom"/>
    </xf>
    <xf borderId="5" fillId="7" fontId="10" numFmtId="0" xfId="0" applyAlignment="1" applyBorder="1" applyFill="1" applyFont="1">
      <alignment horizontal="right" vertical="bottom"/>
    </xf>
    <xf borderId="5" fillId="8" fontId="1" numFmtId="0" xfId="0" applyBorder="1" applyFill="1" applyFont="1"/>
    <xf borderId="5" fillId="8" fontId="14" numFmtId="0" xfId="0" applyAlignment="1" applyBorder="1" applyFill="1" applyFont="1">
      <alignment horizontal="right" readingOrder="0" shrinkToFit="0" wrapText="1"/>
    </xf>
    <xf borderId="5" fillId="8" fontId="1" numFmtId="0" xfId="0" applyAlignment="1" applyBorder="1" applyFill="1" applyFont="1">
      <alignment readingOrder="0"/>
    </xf>
    <xf borderId="5" fillId="0" fontId="16" numFmtId="0" xfId="0" applyBorder="1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right" vertical="bottom"/>
    </xf>
    <xf borderId="0" fillId="0" fontId="17" numFmtId="0" xfId="0" applyAlignment="1" applyFont="1">
      <alignment readingOrder="0"/>
    </xf>
    <xf borderId="0" fillId="0" fontId="14" numFmtId="0" xfId="0" applyAlignment="1" applyFont="1">
      <alignment horizontal="right" readingOrder="0" shrinkToFit="0" wrapText="1"/>
    </xf>
    <xf borderId="2" fillId="5" fontId="18" numFmtId="0" xfId="0" applyAlignment="1" applyBorder="1" applyFill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0" fillId="0" fontId="1" numFmtId="9" xfId="0" applyFont="1" applyNumberFormat="1"/>
    <xf borderId="5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 readingOrder="0"/>
    </xf>
    <xf borderId="0" fillId="5" fontId="4" numFmtId="0" xfId="0" applyAlignment="1" applyFill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readingOrder="0" shrinkToFit="0" wrapText="1"/>
    </xf>
    <xf borderId="5" fillId="0" fontId="8" numFmtId="1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horizontal="right" readingOrder="0" shrinkToFit="0" wrapText="1"/>
    </xf>
    <xf borderId="2" fillId="5" fontId="18" numFmtId="0" xfId="0" applyAlignment="1" applyBorder="1" applyFill="1" applyFont="1">
      <alignment horizontal="center" shrinkToFit="0" vertical="center" wrapText="1"/>
    </xf>
    <xf borderId="5" fillId="5" fontId="18" numFmtId="0" xfId="0" applyAlignment="1" applyBorder="1" applyFill="1" applyFont="1">
      <alignment horizontal="center" readingOrder="0" shrinkToFit="0" vertical="center" wrapText="1"/>
    </xf>
    <xf borderId="5" fillId="5" fontId="18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8" fillId="5" fontId="18" numFmtId="0" xfId="0" applyAlignment="1" applyBorder="1" applyFill="1" applyFont="1">
      <alignment horizontal="center" shrinkToFit="0" vertical="center" wrapText="1"/>
    </xf>
    <xf borderId="5" fillId="0" fontId="20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5" fillId="0" fontId="20" numFmtId="1" xfId="0" applyAlignment="1" applyBorder="1" applyFont="1" applyNumberFormat="1">
      <alignment horizontal="center" shrinkToFit="0" vertical="center" wrapText="1"/>
    </xf>
    <xf borderId="0" fillId="0" fontId="20" numFmtId="1" xfId="0" applyAlignment="1" applyFont="1" applyNumberFormat="1">
      <alignment horizontal="center" shrinkToFit="0" vertical="center" wrapText="1"/>
    </xf>
    <xf borderId="5" fillId="0" fontId="20" numFmtId="1" xfId="0" applyAlignment="1" applyBorder="1" applyFont="1" applyNumberFormat="1">
      <alignment horizontal="center" readingOrder="0" shrinkToFit="0" vertical="center" wrapText="1"/>
    </xf>
    <xf borderId="0" fillId="0" fontId="20" numFmtId="1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8" fillId="5" fontId="18" numFmtId="0" xfId="0" applyAlignment="1" applyBorder="1" applyFill="1" applyFont="1">
      <alignment horizontal="center" readingOrder="0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21" numFmtId="0" xfId="0" applyAlignment="1" applyFont="1">
      <alignment horizontal="center" readingOrder="0"/>
    </xf>
    <xf borderId="5" fillId="5" fontId="22" numFmtId="0" xfId="0" applyAlignment="1" applyBorder="1" applyFill="1" applyFont="1">
      <alignment horizontal="center" readingOrder="0" shrinkToFit="0" vertical="bottom" wrapText="1"/>
    </xf>
    <xf borderId="4" fillId="5" fontId="22" numFmtId="0" xfId="0" applyAlignment="1" applyBorder="1" applyFill="1" applyFont="1">
      <alignment horizontal="center" readingOrder="0" shrinkToFit="0" vertical="bottom" wrapText="1"/>
    </xf>
    <xf borderId="6" fillId="5" fontId="22" numFmtId="0" xfId="0" applyAlignment="1" applyBorder="1" applyFill="1" applyFont="1">
      <alignment horizontal="center" readingOrder="0" shrinkToFit="0" vertical="bottom" wrapText="1"/>
    </xf>
    <xf borderId="7" fillId="0" fontId="23" numFmtId="0" xfId="0" applyAlignment="1" applyBorder="1" applyFont="1">
      <alignment horizontal="center" readingOrder="0" shrinkToFit="0" vertical="bottom" wrapText="1"/>
    </xf>
    <xf borderId="7" fillId="5" fontId="22" numFmtId="0" xfId="0" applyAlignment="1" applyBorder="1" applyFill="1" applyFont="1">
      <alignment horizontal="center" readingOrder="0" shrinkToFit="0" vertical="bottom" wrapText="1"/>
    </xf>
    <xf borderId="5" fillId="5" fontId="22" numFmtId="0" xfId="0" applyAlignment="1" applyBorder="1" applyFill="1" applyFont="1">
      <alignment horizontal="center" readingOrder="0" shrinkToFit="0" wrapText="1"/>
    </xf>
    <xf borderId="4" fillId="5" fontId="22" numFmtId="0" xfId="0" applyAlignment="1" applyBorder="1" applyFill="1" applyFont="1">
      <alignment horizontal="center" readingOrder="0" shrinkToFit="0" wrapText="1"/>
    </xf>
    <xf borderId="6" fillId="5" fontId="22" numFmtId="0" xfId="0" applyAlignment="1" applyBorder="1" applyFill="1" applyFont="1">
      <alignment horizontal="center" readingOrder="0" shrinkToFit="0" wrapText="1"/>
    </xf>
    <xf borderId="7" fillId="0" fontId="23" numFmtId="0" xfId="0" applyAlignment="1" applyBorder="1" applyFont="1">
      <alignment horizontal="center" readingOrder="0" shrinkToFit="0" wrapText="1"/>
    </xf>
    <xf borderId="7" fillId="5" fontId="22" numFmtId="0" xfId="0" applyAlignment="1" applyBorder="1" applyFill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3" fontId="2" numFmtId="0" xfId="0" applyAlignment="1" applyFill="1" applyFont="1">
      <alignment vertical="bottom"/>
    </xf>
    <xf borderId="5" fillId="5" fontId="18" numFmtId="0" xfId="0" applyAlignment="1" applyBorder="1" applyFill="1" applyFont="1">
      <alignment horizontal="center" readingOrder="0" shrinkToFit="0" wrapText="1"/>
    </xf>
    <xf borderId="0" fillId="3" fontId="2" numFmtId="0" xfId="0" applyAlignment="1" applyFill="1" applyFont="1">
      <alignment readingOrder="0" vertical="bottom"/>
    </xf>
    <xf borderId="0" fillId="3" fontId="5" numFmtId="0" xfId="0" applyAlignment="1" applyFill="1" applyFont="1">
      <alignment readingOrder="0" vertical="bottom"/>
    </xf>
    <xf borderId="0" fillId="0" fontId="5" numFmtId="0" xfId="0" applyAlignment="1" applyFont="1">
      <alignment readingOrder="0"/>
    </xf>
    <xf borderId="0" fillId="7" fontId="10" numFmtId="0" xfId="0" applyAlignment="1" applyFill="1" applyFont="1">
      <alignment horizontal="right" vertical="bottom"/>
    </xf>
    <xf borderId="5" fillId="2" fontId="1" numFmtId="0" xfId="0" applyAlignment="1" applyBorder="1" applyFill="1" applyFont="1">
      <alignment readingOrder="0"/>
    </xf>
    <xf borderId="5" fillId="0" fontId="1" numFmtId="0" xfId="0" applyAlignment="1" applyBorder="1" applyFont="1">
      <alignment horizontal="center" readingOrder="0"/>
    </xf>
    <xf borderId="5" fillId="5" fontId="24" numFmtId="0" xfId="0" applyAlignment="1" applyBorder="1" applyFill="1" applyFont="1">
      <alignment horizontal="center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horizontal="center" readingOrder="0" shrinkToFit="0" vertical="center" wrapText="1"/>
    </xf>
    <xf borderId="0" fillId="0" fontId="13" numFmtId="0" xfId="0" applyFont="1"/>
    <xf borderId="2" fillId="0" fontId="26" numFmtId="0" xfId="0" applyAlignment="1" applyBorder="1" applyFont="1">
      <alignment horizontal="center" readingOrder="0"/>
    </xf>
    <xf borderId="5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5" fillId="0" fontId="1" numFmtId="1" xfId="0" applyAlignment="1" applyBorder="1" applyFont="1" applyNumberFormat="1">
      <alignment shrinkToFit="0" wrapText="1"/>
    </xf>
    <xf borderId="0" fillId="0" fontId="7" numFmtId="1" xfId="0" applyAlignment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1" numFmtId="0" xfId="0" applyAlignment="1" applyBorder="1" applyFont="1">
      <alignment readingOrder="0"/>
    </xf>
    <xf borderId="8" fillId="0" fontId="5" numFmtId="0" xfId="0" applyAlignment="1" applyBorder="1" applyFont="1">
      <alignment horizontal="right" readingOrder="0" vertical="bottom"/>
    </xf>
    <xf borderId="8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1" numFmtId="1" xfId="0" applyFont="1" applyNumberFormat="1"/>
    <xf borderId="1" fillId="0" fontId="26" numFmtId="0" xfId="0" applyAlignment="1" applyBorder="1" applyFont="1">
      <alignment horizontal="center" readingOrder="0"/>
    </xf>
    <xf borderId="6" fillId="3" fontId="2" numFmtId="0" xfId="0" applyAlignment="1" applyBorder="1" applyFill="1" applyFont="1">
      <alignment vertical="bottom"/>
    </xf>
    <xf borderId="11" fillId="3" fontId="2" numFmtId="0" xfId="0" applyAlignment="1" applyBorder="1" applyFill="1" applyFont="1">
      <alignment vertical="bottom"/>
    </xf>
    <xf borderId="1" fillId="0" fontId="5" numFmtId="0" xfId="0" applyAlignment="1" applyBorder="1" applyFont="1">
      <alignment horizontal="right" vertical="bottom"/>
    </xf>
    <xf borderId="0" fillId="0" fontId="27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5" fillId="0" fontId="5" numFmtId="21" xfId="0" applyAlignment="1" applyBorder="1" applyFont="1" applyNumberFormat="1">
      <alignment vertical="bottom"/>
    </xf>
    <xf borderId="0" fillId="0" fontId="11" numFmtId="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20" xfId="0" applyAlignment="1" applyBorder="1" applyFont="1" applyNumberFormat="1">
      <alignment vertical="bottom"/>
    </xf>
    <xf borderId="0" fillId="0" fontId="1" numFmtId="0" xfId="0" applyFont="1"/>
    <xf borderId="5" fillId="0" fontId="5" numFmtId="164" xfId="0" applyAlignment="1" applyBorder="1" applyFont="1" applyNumberFormat="1">
      <alignment vertical="bottom"/>
    </xf>
    <xf borderId="2" fillId="5" fontId="18" numFmtId="0" xfId="0" applyAlignment="1" applyBorder="1" applyFill="1" applyFont="1">
      <alignment horizontal="center" readingOrder="0" shrinkToFit="0" wrapText="1"/>
    </xf>
    <xf borderId="5" fillId="5" fontId="18" numFmtId="0" xfId="0" applyAlignment="1" applyBorder="1" applyFill="1" applyFont="1">
      <alignment horizontal="center" shrinkToFit="0" wrapText="1"/>
    </xf>
    <xf borderId="5" fillId="5" fontId="18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0" fontId="1" numFmtId="0" xfId="0" applyAlignment="1" applyFont="1">
      <alignment horizontal="center" readingOrder="0"/>
    </xf>
    <xf borderId="4" fillId="3" fontId="2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readingOrder="0" shrinkToFit="0" vertical="bottom" wrapText="1"/>
    </xf>
    <xf borderId="5" fillId="3" fontId="2" numFmtId="0" xfId="0" applyAlignment="1" applyBorder="1" applyFill="1" applyFont="1">
      <alignment horizontal="center" readingOrder="0" vertical="center"/>
    </xf>
    <xf borderId="4" fillId="3" fontId="2" numFmtId="0" xfId="0" applyAlignment="1" applyBorder="1" applyFill="1" applyFont="1">
      <alignment readingOrder="0" vertical="bottom"/>
    </xf>
    <xf borderId="4" fillId="3" fontId="6" numFmtId="0" xfId="0" applyAlignment="1" applyBorder="1" applyFill="1" applyFont="1">
      <alignment readingOrder="0" vertical="bottom"/>
    </xf>
    <xf borderId="5" fillId="5" fontId="1" numFmtId="0" xfId="0" applyBorder="1" applyFill="1" applyFont="1"/>
    <xf borderId="5" fillId="5" fontId="1" numFmtId="0" xfId="0" applyAlignment="1" applyBorder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28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0" fillId="0" fontId="18" numFmtId="0" xfId="0" applyAlignment="1" applyFont="1">
      <alignment horizontal="center" shrinkToFit="0" vertical="center" wrapText="1"/>
    </xf>
    <xf borderId="0" fillId="0" fontId="18" numFmtId="1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readingOrder="0"/>
    </xf>
    <xf borderId="0" fillId="0" fontId="20" numFmtId="0" xfId="0" applyAlignment="1" applyFont="1">
      <alignment horizontal="center" shrinkToFit="0" vertical="center" wrapText="1"/>
    </xf>
    <xf borderId="2" fillId="8" fontId="18" numFmtId="0" xfId="0" applyAlignment="1" applyBorder="1" applyFill="1" applyFont="1">
      <alignment horizontal="center" readingOrder="0" shrinkToFit="0" wrapText="1"/>
    </xf>
    <xf borderId="2" fillId="8" fontId="18" numFmtId="0" xfId="0" applyAlignment="1" applyBorder="1" applyFill="1" applyFont="1">
      <alignment horizontal="center" readingOrder="0" shrinkToFit="0" vertical="center" wrapText="1"/>
    </xf>
    <xf borderId="0" fillId="8" fontId="1" numFmtId="0" xfId="0" applyAlignment="1" applyFill="1" applyFont="1">
      <alignment readingOrder="0"/>
    </xf>
    <xf borderId="5" fillId="8" fontId="18" numFmtId="0" xfId="0" applyAlignment="1" applyBorder="1" applyFill="1" applyFont="1">
      <alignment horizontal="center" readingOrder="0" shrinkToFit="0" vertical="bottom" wrapText="1"/>
    </xf>
    <xf borderId="5" fillId="5" fontId="18" numFmtId="0" xfId="0" applyAlignment="1" applyBorder="1" applyFill="1" applyFont="1">
      <alignment horizontal="center" shrinkToFit="0" vertical="center" wrapText="1"/>
    </xf>
    <xf borderId="5" fillId="8" fontId="18" numFmtId="0" xfId="0" applyAlignment="1" applyBorder="1" applyFill="1" applyFont="1">
      <alignment horizontal="center" readingOrder="0" shrinkToFit="0" wrapText="1"/>
    </xf>
    <xf borderId="0" fillId="8" fontId="5" numFmtId="0" xfId="0" applyAlignment="1" applyFill="1" applyFont="1">
      <alignment horizontal="right" vertical="bottom"/>
    </xf>
    <xf borderId="0" fillId="8" fontId="5" numFmtId="0" xfId="0" applyAlignment="1" applyFill="1" applyFont="1">
      <alignment vertical="bottom"/>
    </xf>
    <xf borderId="0" fillId="8" fontId="1" numFmtId="9" xfId="0" applyFill="1" applyFont="1" applyNumberFormat="1"/>
    <xf borderId="0" fillId="8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Кол-во общих заказов за 1-е полугодие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2025-2026'!$B$1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2025-2026'!$A$2:$A$3</c:f>
            </c:strRef>
          </c:cat>
          <c:val>
            <c:numRef>
              <c:f>'Анализ 2025-2026'!$B$2:$B$3</c:f>
              <c:numCache/>
            </c:numRef>
          </c:val>
        </c:ser>
        <c:axId val="1476751398"/>
        <c:axId val="1393573553"/>
      </c:bar3DChart>
      <c:catAx>
        <c:axId val="1476751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393573553"/>
      </c:catAx>
      <c:valAx>
        <c:axId val="1393573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751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водителей за 1-е полугодие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2025-2026'!$E$1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2025-2026'!$D$2:$D$3</c:f>
            </c:strRef>
          </c:cat>
          <c:val>
            <c:numRef>
              <c:f>'Анализ 2025-2026'!$E$2:$E$3</c:f>
              <c:numCache/>
            </c:numRef>
          </c:val>
        </c:ser>
        <c:axId val="836347148"/>
        <c:axId val="1536533575"/>
      </c:bar3DChart>
      <c:catAx>
        <c:axId val="836347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536533575"/>
      </c:catAx>
      <c:valAx>
        <c:axId val="1536533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347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заказов пассажиров  за 1-е полугодие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2025-2026'!$H$1</c:f>
            </c:strRef>
          </c:tx>
          <c:spPr>
            <a:solidFill>
              <a:schemeClr val="accent1"/>
            </a:solidFill>
            <a:ln cmpd="sng" w="76200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2025-2026'!$G$2:$G$3</c:f>
            </c:strRef>
          </c:cat>
          <c:val>
            <c:numRef>
              <c:f>'Анализ 2025-2026'!$H$2:$H$3</c:f>
              <c:numCache/>
            </c:numRef>
          </c:val>
        </c:ser>
        <c:axId val="2046064375"/>
        <c:axId val="161920613"/>
      </c:bar3DChart>
      <c:catAx>
        <c:axId val="2046064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61920613"/>
      </c:catAx>
      <c:valAx>
        <c:axId val="161920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064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зарегистрированных пользователей сервиса за 1-е полугодие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2025-2026'!$L$1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2025-2026'!$K$2:$K$3</c:f>
            </c:strRef>
          </c:cat>
          <c:val>
            <c:numRef>
              <c:f>'Анализ 2025-2026'!$L$2:$L$3</c:f>
              <c:numCache/>
            </c:numRef>
          </c:val>
        </c:ser>
        <c:axId val="190573198"/>
        <c:axId val="1040720460"/>
      </c:bar3DChart>
      <c:catAx>
        <c:axId val="19057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040720460"/>
      </c:catAx>
      <c:valAx>
        <c:axId val="1040720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573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посещений сайта за 1-е полугодие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2025-2026'!$P$1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2025-2026'!$O$2:$O$3</c:f>
            </c:strRef>
          </c:cat>
          <c:val>
            <c:numRef>
              <c:f>'Анализ 2025-2026'!$P$2:$P$3</c:f>
              <c:numCache/>
            </c:numRef>
          </c:val>
        </c:ser>
        <c:axId val="838636178"/>
        <c:axId val="611513081"/>
      </c:bar3DChart>
      <c:catAx>
        <c:axId val="838636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611513081"/>
      </c:catAx>
      <c:valAx>
        <c:axId val="611513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636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Сумма сбора (сомони) за 1-е полугодие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2025-2026'!$S$1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2025-2026'!$R$2:$R$3</c:f>
            </c:strRef>
          </c:cat>
          <c:val>
            <c:numRef>
              <c:f>'Анализ 2025-2026'!$S$2:$S$3</c:f>
              <c:numCache/>
            </c:numRef>
          </c:val>
        </c:ser>
        <c:axId val="1515742896"/>
        <c:axId val="953539357"/>
      </c:bar3DChart>
      <c:catAx>
        <c:axId val="151574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953539357"/>
      </c:catAx>
      <c:valAx>
        <c:axId val="953539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742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Кол-во общих заказов за 1-е полугодие	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'Анализ 2025-2026'!$A$101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2025-2026'!$B$100:$G$100</c:f>
            </c:strRef>
          </c:cat>
          <c:val>
            <c:numRef>
              <c:f>'Анализ 2025-2026'!$B$101:$G$101</c:f>
              <c:numCache/>
            </c:numRef>
          </c:val>
          <c:smooth val="0"/>
        </c:ser>
        <c:ser>
          <c:idx val="1"/>
          <c:order val="1"/>
          <c:tx>
            <c:strRef>
              <c:f>'Анализ 2025-2026'!$A$102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2025-2026'!$B$100:$G$100</c:f>
            </c:strRef>
          </c:cat>
          <c:val>
            <c:numRef>
              <c:f>'Анализ 2025-2026'!$B$102:$G$102</c:f>
              <c:numCache/>
            </c:numRef>
          </c:val>
          <c:smooth val="0"/>
        </c:ser>
        <c:axId val="1152968051"/>
        <c:axId val="567328955"/>
      </c:lineChart>
      <c:catAx>
        <c:axId val="1152968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328955"/>
      </c:catAx>
      <c:valAx>
        <c:axId val="567328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 заказов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968051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Кол-во заказов пассажиров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'Анализ 2025-2026'!$A$105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2025-2026'!$B$104:$G$104</c:f>
            </c:strRef>
          </c:cat>
          <c:val>
            <c:numRef>
              <c:f>'Анализ 2025-2026'!$B$105:$G$105</c:f>
              <c:numCache/>
            </c:numRef>
          </c:val>
          <c:smooth val="0"/>
        </c:ser>
        <c:ser>
          <c:idx val="1"/>
          <c:order val="1"/>
          <c:tx>
            <c:strRef>
              <c:f>'Анализ 2025-2026'!$A$106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2025-2026'!$B$104:$G$104</c:f>
            </c:strRef>
          </c:cat>
          <c:val>
            <c:numRef>
              <c:f>'Анализ 2025-2026'!$B$106:$G$106</c:f>
              <c:numCache/>
            </c:numRef>
          </c:val>
          <c:smooth val="0"/>
        </c:ser>
        <c:axId val="2055408904"/>
        <c:axId val="1900106496"/>
      </c:lineChart>
      <c:catAx>
        <c:axId val="205540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106496"/>
      </c:catAx>
      <c:valAx>
        <c:axId val="1900106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 заказов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4089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Кол-во заказов водителей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'Анализ 2025-2026'!$A$109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2025-2026'!$B$108:$G$108</c:f>
            </c:strRef>
          </c:cat>
          <c:val>
            <c:numRef>
              <c:f>'Анализ 2025-2026'!$B$109:$G$109</c:f>
              <c:numCache/>
            </c:numRef>
          </c:val>
          <c:smooth val="0"/>
        </c:ser>
        <c:ser>
          <c:idx val="1"/>
          <c:order val="1"/>
          <c:tx>
            <c:strRef>
              <c:f>'Анализ 2025-2026'!$A$110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2025-2026'!$B$108:$G$108</c:f>
            </c:strRef>
          </c:cat>
          <c:val>
            <c:numRef>
              <c:f>'Анализ 2025-2026'!$B$110:$G$110</c:f>
              <c:numCache/>
            </c:numRef>
          </c:val>
          <c:smooth val="0"/>
        </c:ser>
        <c:axId val="1168643895"/>
        <c:axId val="822838693"/>
      </c:lineChart>
      <c:catAx>
        <c:axId val="1168643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838693"/>
      </c:catAx>
      <c:valAx>
        <c:axId val="822838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 заказов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64389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Кол-во зарегистрированных пользователей сервиса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'Анализ 2025-2026'!$A$113</c:f>
            </c:strRef>
          </c:tx>
          <c:spPr>
            <a:ln cmpd="sng">
              <a:solidFill>
                <a:srgbClr val="4184F3"/>
              </a:solidFill>
            </a:ln>
          </c:spPr>
          <c:marker>
            <c:symbol val="circle"/>
            <c:size val="7"/>
            <c:spPr>
              <a:solidFill>
                <a:srgbClr val="4184F3"/>
              </a:solidFill>
              <a:ln cmpd="sng">
                <a:solidFill>
                  <a:srgbClr val="4184F3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4184F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2025-2026'!$B$112:$G$112</c:f>
            </c:strRef>
          </c:cat>
          <c:val>
            <c:numRef>
              <c:f>'Анализ 2025-2026'!$B$113:$G$113</c:f>
              <c:numCache/>
            </c:numRef>
          </c:val>
          <c:smooth val="0"/>
        </c:ser>
        <c:ser>
          <c:idx val="1"/>
          <c:order val="1"/>
          <c:tx>
            <c:strRef>
              <c:f>'Анализ 2025-2026'!$A$114</c:f>
            </c:strRef>
          </c:tx>
          <c:spPr>
            <a:ln cmpd="sng">
              <a:solidFill>
                <a:srgbClr val="E94234"/>
              </a:solidFill>
            </a:ln>
          </c:spPr>
          <c:marker>
            <c:symbol val="circle"/>
            <c:size val="7"/>
            <c:spPr>
              <a:solidFill>
                <a:srgbClr val="E94234"/>
              </a:solidFill>
              <a:ln cmpd="sng">
                <a:solidFill>
                  <a:srgbClr val="E9423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E9423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2025-2026'!$B$112:$G$112</c:f>
            </c:strRef>
          </c:cat>
          <c:val>
            <c:numRef>
              <c:f>'Анализ 2025-2026'!$B$114:$G$114</c:f>
              <c:numCache/>
            </c:numRef>
          </c:val>
          <c:smooth val="0"/>
        </c:ser>
        <c:axId val="258866257"/>
        <c:axId val="233660494"/>
      </c:lineChart>
      <c:catAx>
        <c:axId val="258866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660494"/>
      </c:catAx>
      <c:valAx>
        <c:axId val="233660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 пользователей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86625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Сравнительный анализ: Кол-во посещений сайта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'Анализ 2025-2026'!$A$117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2025-2026'!$B$116:$G$116</c:f>
            </c:strRef>
          </c:cat>
          <c:val>
            <c:numRef>
              <c:f>'Анализ 2025-2026'!$B$117:$G$117</c:f>
              <c:numCache/>
            </c:numRef>
          </c:val>
          <c:smooth val="0"/>
        </c:ser>
        <c:ser>
          <c:idx val="1"/>
          <c:order val="1"/>
          <c:tx>
            <c:strRef>
              <c:f>'Анализ 2025-2026'!$A$118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2025-2026'!$B$116:$G$116</c:f>
            </c:strRef>
          </c:cat>
          <c:val>
            <c:numRef>
              <c:f>'Анализ 2025-2026'!$B$118:$G$118</c:f>
              <c:numCache/>
            </c:numRef>
          </c:val>
          <c:smooth val="0"/>
        </c:ser>
        <c:axId val="333956553"/>
        <c:axId val="1536110013"/>
      </c:lineChart>
      <c:catAx>
        <c:axId val="333956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110013"/>
      </c:catAx>
      <c:valAx>
        <c:axId val="1536110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Посещения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9565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2023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2023-2024'!$D$2:$D$13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2023-2024'!$C$17:$C$28</c:f>
              <c:numCache/>
            </c:numRef>
          </c:val>
          <c:smooth val="0"/>
        </c:ser>
        <c:axId val="1000679429"/>
        <c:axId val="1693587880"/>
      </c:lineChart>
      <c:catAx>
        <c:axId val="1000679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93587880"/>
      </c:catAx>
      <c:valAx>
        <c:axId val="1693587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679429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2023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2023-2024'!$E$2:$E$13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2023-2024'!$E$17:$E$28</c:f>
              <c:numCache/>
            </c:numRef>
          </c:val>
          <c:smooth val="0"/>
        </c:ser>
        <c:axId val="1287219838"/>
        <c:axId val="814239618"/>
      </c:lineChart>
      <c:catAx>
        <c:axId val="1287219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14239618"/>
      </c:catAx>
      <c:valAx>
        <c:axId val="814239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219838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2023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2023-2024'!$F$2:$F$13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2023-2024'!$F$17:$F$28</c:f>
              <c:numCache/>
            </c:numRef>
          </c:val>
          <c:smooth val="0"/>
        </c:ser>
        <c:axId val="710727033"/>
        <c:axId val="637782047"/>
      </c:lineChart>
      <c:catAx>
        <c:axId val="710727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37782047"/>
      </c:catAx>
      <c:valAx>
        <c:axId val="637782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727033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2023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2023-2024'!$G$2:$G$13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2023-2024'!$G$17:$G$28</c:f>
              <c:numCache/>
            </c:numRef>
          </c:val>
          <c:smooth val="0"/>
        </c:ser>
        <c:axId val="1274404766"/>
        <c:axId val="1766731762"/>
      </c:lineChart>
      <c:catAx>
        <c:axId val="1274404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66731762"/>
      </c:catAx>
      <c:valAx>
        <c:axId val="1766731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404766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2023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2023-2024'!$H$2:$H$13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2023-2024'!$H$17:$H$28</c:f>
              <c:numCache/>
            </c:numRef>
          </c:val>
          <c:smooth val="0"/>
        </c:ser>
        <c:axId val="961942732"/>
        <c:axId val="2141509764"/>
      </c:lineChart>
      <c:catAx>
        <c:axId val="961942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41509764"/>
      </c:catAx>
      <c:valAx>
        <c:axId val="2141509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942732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2023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2023-2024'!$I$2:$I$13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2023-2024'!$I$17:$I$28</c:f>
              <c:numCache/>
            </c:numRef>
          </c:val>
          <c:smooth val="0"/>
        </c:ser>
        <c:axId val="1787672293"/>
        <c:axId val="939980141"/>
      </c:lineChart>
      <c:catAx>
        <c:axId val="1787672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39980141"/>
      </c:catAx>
      <c:valAx>
        <c:axId val="939980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672293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'Диаграммы 2023-2024'!$G$16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2023-2024'!$G$17:$G$28</c:f>
              <c:numCache/>
            </c:numRef>
          </c:val>
          <c:smooth val="0"/>
        </c:ser>
        <c:ser>
          <c:idx val="1"/>
          <c:order val="1"/>
          <c:tx>
            <c:v>Кол-во посещение сайта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2023-2024'!$C$2:$C$13</c:f>
            </c:strRef>
          </c:cat>
          <c:val>
            <c:numRef>
              <c:f>'Диаграммы 2023-2024'!$I$17:$I$28</c:f>
              <c:numCache/>
            </c:numRef>
          </c:val>
          <c:smooth val="0"/>
        </c:ser>
        <c:axId val="845541421"/>
        <c:axId val="868893837"/>
      </c:lineChart>
      <c:catAx>
        <c:axId val="845541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68893837"/>
      </c:catAx>
      <c:valAx>
        <c:axId val="868893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541421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Кол-во заказов пассажиров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2023-2024'!$Q$105:$Q$116</c:f>
            </c:strRef>
          </c:cat>
          <c:val>
            <c:numRef>
              <c:f>'Диаграммы 2023-2024'!$R$105:$R$116</c:f>
              <c:numCache/>
            </c:numRef>
          </c:val>
          <c:smooth val="0"/>
        </c:ser>
        <c:ser>
          <c:idx val="1"/>
          <c:order val="1"/>
          <c:tx>
            <c:v>Выполнено</c:v>
          </c:tx>
          <c:spPr>
            <a:ln cmpd="sng">
              <a:solidFill>
                <a:schemeClr val="accent4"/>
              </a:solidFill>
            </a:ln>
          </c:spPr>
          <c:marker>
            <c:symbol val="circle"/>
            <c:size val="10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2023-2024'!$Q$105:$Q$116</c:f>
            </c:strRef>
          </c:cat>
          <c:val>
            <c:numRef>
              <c:f>'Диаграммы 2023-2024'!$S$105:$S$116</c:f>
              <c:numCache/>
            </c:numRef>
          </c:val>
          <c:smooth val="0"/>
        </c:ser>
        <c:ser>
          <c:idx val="2"/>
          <c:order val="2"/>
          <c:tx>
            <c:strRef>
              <c:f>'Диаграммы 2023-2024'!$T$104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'Диаграммы 2023-2024'!$Q$105:$Q$116</c:f>
            </c:strRef>
          </c:cat>
          <c:val>
            <c:numRef>
              <c:f>'Диаграммы 2023-2024'!$T$105:$T$116</c:f>
              <c:numCache/>
            </c:numRef>
          </c:val>
          <c:smooth val="0"/>
        </c:ser>
        <c:axId val="677398886"/>
        <c:axId val="977342539"/>
      </c:lineChart>
      <c:catAx>
        <c:axId val="677398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77342539"/>
      </c:catAx>
      <c:valAx>
        <c:axId val="977342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398886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ТОП 10 Маршруты заказов водителей 2024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'Диаграммы 2023-2024'!$B$103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'Диаграммы 2023-2024'!$A$104:$A$113</c:f>
            </c:strRef>
          </c:cat>
          <c:val>
            <c:numRef>
              <c:f>'Диаграммы 2023-2024'!$B$104:$B$113</c:f>
              <c:numCache/>
            </c:numRef>
          </c:val>
        </c:ser>
        <c:axId val="2092271312"/>
        <c:axId val="1715737478"/>
      </c:bar3DChart>
      <c:catAx>
        <c:axId val="209227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715737478"/>
      </c:catAx>
      <c:valAx>
        <c:axId val="1715737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271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ТОП 10 Маршруты заказов пассажиров 2024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'Диаграммы 2023-2024'!$B$214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'Диаграммы 2023-2024'!$A$215:$A$224</c:f>
            </c:strRef>
          </c:cat>
          <c:val>
            <c:numRef>
              <c:f>'Диаграммы 2023-2024'!$B$215:$B$224</c:f>
              <c:numCache/>
            </c:numRef>
          </c:val>
        </c:ser>
        <c:axId val="257618972"/>
        <c:axId val="584957519"/>
      </c:bar3DChart>
      <c:catAx>
        <c:axId val="257618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584957519"/>
      </c:catAx>
      <c:valAx>
        <c:axId val="584957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618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Количество заказов общие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2023-2024'!$A$2:$A$3</c:f>
            </c:strRef>
          </c:cat>
          <c:val>
            <c:numRef>
              <c:f>'Анализ 2023-2024'!$B$2:$B$3</c:f>
              <c:numCache/>
            </c:numRef>
          </c:val>
        </c:ser>
        <c:axId val="1308521061"/>
        <c:axId val="341567707"/>
      </c:bar3DChart>
      <c:catAx>
        <c:axId val="1308521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341567707"/>
      </c:catAx>
      <c:valAx>
        <c:axId val="34156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521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пассажиров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2023-2024'!$O$1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2023-2024'!$N$2:$N$3</c:f>
            </c:strRef>
          </c:cat>
          <c:val>
            <c:numRef>
              <c:f>'Анализ 2023-2024'!$O$2:$O$3</c:f>
              <c:numCache/>
            </c:numRef>
          </c:val>
        </c:ser>
        <c:axId val="68619022"/>
        <c:axId val="2052055805"/>
      </c:bar3DChart>
      <c:catAx>
        <c:axId val="68619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52055805"/>
      </c:catAx>
      <c:valAx>
        <c:axId val="2052055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19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пассажиров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2023-2024'!$R$2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900FF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2023-2024'!$Q$3:$Q$5</c:f>
            </c:strRef>
          </c:cat>
          <c:val>
            <c:numRef>
              <c:f>'Анализ 2023-2024'!$R$3:$R$5</c:f>
              <c:numCache/>
            </c:numRef>
          </c:val>
        </c:ser>
        <c:axId val="960458880"/>
        <c:axId val="1369025270"/>
      </c:bar3DChart>
      <c:catAx>
        <c:axId val="96045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369025270"/>
      </c:catAx>
      <c:valAx>
        <c:axId val="1369025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458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зарегистрированных пользователей сервиса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2023-2024'!$Y$1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2023-2024'!$X$2:$X$3</c:f>
            </c:strRef>
          </c:cat>
          <c:val>
            <c:numRef>
              <c:f>'Анализ 2023-2024'!$Y$2:$Y$3</c:f>
              <c:numCache/>
            </c:numRef>
          </c:val>
        </c:ser>
        <c:axId val="856822616"/>
        <c:axId val="331914082"/>
      </c:bar3DChart>
      <c:catAx>
        <c:axId val="856822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331914082"/>
      </c:catAx>
      <c:valAx>
        <c:axId val="331914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822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пользователей канала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2023-2024'!$AD$1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2023-2024'!$AC$2:$AC$3</c:f>
            </c:strRef>
          </c:cat>
          <c:val>
            <c:numRef>
              <c:f>'Анализ 2023-2024'!$AD$2:$AD$3</c:f>
              <c:numCache/>
            </c:numRef>
          </c:val>
        </c:ser>
        <c:axId val="1815931048"/>
        <c:axId val="112934056"/>
      </c:bar3DChart>
      <c:catAx>
        <c:axId val="1815931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12934056"/>
      </c:catAx>
      <c:valAx>
        <c:axId val="112934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931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посещений сайта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2023-2024'!$AH$1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2023-2024'!$AG$2:$AG$3</c:f>
            </c:strRef>
          </c:cat>
          <c:val>
            <c:numRef>
              <c:f>'Анализ 2023-2024'!$AH$2:$AH$3</c:f>
              <c:numCache/>
            </c:numRef>
          </c:val>
        </c:ser>
        <c:axId val="2079228948"/>
        <c:axId val="1710448256"/>
      </c:bar3DChart>
      <c:catAx>
        <c:axId val="2079228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710448256"/>
      </c:catAx>
      <c:valAx>
        <c:axId val="171044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228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уникальных водителей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2023-2024'!$J$1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2023-2024'!$I$2:$I$3</c:f>
            </c:strRef>
          </c:cat>
          <c:val>
            <c:numRef>
              <c:f>'Анализ 2023-2024'!$J$2:$J$3</c:f>
              <c:numCache/>
            </c:numRef>
          </c:val>
        </c:ser>
        <c:axId val="1972084629"/>
        <c:axId val="791189028"/>
      </c:bar3DChart>
      <c:catAx>
        <c:axId val="1972084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791189028"/>
      </c:catAx>
      <c:valAx>
        <c:axId val="791189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084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уникальных пассажиров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2023-2024'!$U$1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2023-2024'!$T$2:$T$3</c:f>
            </c:strRef>
          </c:cat>
          <c:val>
            <c:numRef>
              <c:f>'Анализ 2023-2024'!$U$2:$U$3</c:f>
              <c:numCache/>
            </c:numRef>
          </c:val>
        </c:ser>
        <c:axId val="165444111"/>
        <c:axId val="2003838228"/>
      </c:bar3DChart>
      <c:catAx>
        <c:axId val="165444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03838228"/>
      </c:catAx>
      <c:valAx>
        <c:axId val="2003838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44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Кол-во общих заказов за 1-й квартал 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2023-2024'!$B$43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2023-2024'!$A$44:$A$45</c:f>
            </c:strRef>
          </c:cat>
          <c:val>
            <c:numRef>
              <c:f>'Анализ 2023-2024'!$B$44:$B$45</c:f>
              <c:numCache/>
            </c:numRef>
          </c:val>
        </c:ser>
        <c:axId val="115115811"/>
        <c:axId val="1719921110"/>
      </c:bar3DChart>
      <c:catAx>
        <c:axId val="115115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719921110"/>
      </c:catAx>
      <c:valAx>
        <c:axId val="1719921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15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водителей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2023-2024'!$G$1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2023-2024'!$F$2:$F$3</c:f>
            </c:strRef>
          </c:cat>
          <c:val>
            <c:numRef>
              <c:f>'Анализ 2023-2024'!$G$2:$G$3</c:f>
              <c:numCache/>
            </c:numRef>
          </c:val>
        </c:ser>
        <c:axId val="2108907519"/>
        <c:axId val="54363786"/>
      </c:bar3DChart>
      <c:catAx>
        <c:axId val="210890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54363786"/>
      </c:catAx>
      <c:valAx>
        <c:axId val="54363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907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водителей за 1-й квартал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2023-2024'!$E$43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2023-2024'!$D$44:$D$45</c:f>
            </c:strRef>
          </c:cat>
          <c:val>
            <c:numRef>
              <c:f>'Анализ 2023-2024'!$E$44:$E$45</c:f>
              <c:numCache/>
            </c:numRef>
          </c:val>
        </c:ser>
        <c:axId val="1177872372"/>
        <c:axId val="832554159"/>
      </c:bar3DChart>
      <c:catAx>
        <c:axId val="1177872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832554159"/>
      </c:catAx>
      <c:valAx>
        <c:axId val="832554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872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2023-2024'!$A$31:$A$34</c:f>
            </c:strRef>
          </c:cat>
          <c:val>
            <c:numRef>
              <c:f>'Анализ 2023-2024'!$B$31:$B$34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2023-2024'!$A$31:$A$34</c:f>
            </c:strRef>
          </c:cat>
          <c:val>
            <c:numRef>
              <c:f>'Анализ 2023-2024'!$I$31:$I$34</c:f>
              <c:numCache/>
            </c:numRef>
          </c:val>
          <c:smooth val="0"/>
        </c:ser>
        <c:axId val="481014752"/>
        <c:axId val="213988898"/>
      </c:lineChart>
      <c:catAx>
        <c:axId val="48101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13988898"/>
      </c:catAx>
      <c:valAx>
        <c:axId val="213988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014752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2023-2024'!$D$31:$D$33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2023-2024'!$I$31:$I$33</c:f>
              <c:numCache/>
            </c:numRef>
          </c:val>
          <c:smooth val="0"/>
        </c:ser>
        <c:axId val="407038566"/>
        <c:axId val="2139882177"/>
      </c:lineChart>
      <c:catAx>
        <c:axId val="407038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139882177"/>
      </c:catAx>
      <c:valAx>
        <c:axId val="2139882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038566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заказов пассажиров  за 1-й квартал 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2023-2024'!$H$43</c:f>
            </c:strRef>
          </c:tx>
          <c:spPr>
            <a:solidFill>
              <a:schemeClr val="accent1"/>
            </a:solidFill>
            <a:ln cmpd="sng" w="76200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2023-2024'!$G$44:$G$45</c:f>
            </c:strRef>
          </c:cat>
          <c:val>
            <c:numRef>
              <c:f>'Анализ 2023-2024'!$H$44:$H$45</c:f>
              <c:numCache/>
            </c:numRef>
          </c:val>
        </c:ser>
        <c:axId val="1801180974"/>
        <c:axId val="1779131554"/>
      </c:bar3DChart>
      <c:catAx>
        <c:axId val="1801180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779131554"/>
      </c:catAx>
      <c:valAx>
        <c:axId val="1779131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180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2023-2024'!$C$31:$C$33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2023-2024'!$I$31:$I$33</c:f>
              <c:numCache/>
            </c:numRef>
          </c:val>
          <c:smooth val="0"/>
        </c:ser>
        <c:axId val="1807183962"/>
        <c:axId val="2002694191"/>
      </c:lineChart>
      <c:catAx>
        <c:axId val="1807183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02694191"/>
      </c:catAx>
      <c:valAx>
        <c:axId val="2002694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183962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зарегистрированных пользователей сервиса за 1-й квартал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2023-2024'!$L$43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2023-2024'!$K$44:$K$45</c:f>
            </c:strRef>
          </c:cat>
          <c:val>
            <c:numRef>
              <c:f>'Анализ 2023-2024'!$L$44:$L$45</c:f>
              <c:numCache/>
            </c:numRef>
          </c:val>
        </c:ser>
        <c:axId val="230361175"/>
        <c:axId val="620606362"/>
      </c:bar3DChart>
      <c:catAx>
        <c:axId val="230361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620606362"/>
      </c:catAx>
      <c:valAx>
        <c:axId val="620606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361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2023-2024'!$E$31:$E$33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2023-2024'!$I$31:$I$33</c:f>
              <c:numCache/>
            </c:numRef>
          </c:val>
          <c:smooth val="0"/>
        </c:ser>
        <c:axId val="640295462"/>
        <c:axId val="1242335869"/>
      </c:lineChart>
      <c:catAx>
        <c:axId val="640295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242335869"/>
      </c:catAx>
      <c:valAx>
        <c:axId val="1242335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295462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2023-2024'!$B$31:$B$33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2023-2024'!$A$31:$A$33</c:f>
            </c:strRef>
          </c:cat>
          <c:val>
            <c:numRef>
              <c:f>'Анализ 2023-2024'!$I$31:$I$33</c:f>
              <c:numCache/>
            </c:numRef>
          </c:val>
          <c:smooth val="0"/>
        </c:ser>
        <c:axId val="1995683871"/>
        <c:axId val="1236719987"/>
      </c:lineChart>
      <c:catAx>
        <c:axId val="199568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236719987"/>
      </c:catAx>
      <c:valAx>
        <c:axId val="1236719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683871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2024-2025'!$D$2:$D$14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2024-2025'!$C$17:$C$28</c:f>
              <c:numCache/>
            </c:numRef>
          </c:val>
          <c:smooth val="0"/>
        </c:ser>
        <c:axId val="1491382542"/>
        <c:axId val="229918631"/>
      </c:lineChart>
      <c:catAx>
        <c:axId val="1491382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29918631"/>
      </c:catAx>
      <c:valAx>
        <c:axId val="229918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382542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2024-2025'!$E$2:$E$14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2024-2025'!$E$17:$E$28</c:f>
              <c:numCache/>
            </c:numRef>
          </c:val>
          <c:smooth val="0"/>
        </c:ser>
        <c:axId val="1148874378"/>
        <c:axId val="2061611102"/>
      </c:lineChart>
      <c:catAx>
        <c:axId val="1148874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61611102"/>
      </c:catAx>
      <c:valAx>
        <c:axId val="2061611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874378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2024-2025'!$F$2:$F$14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2024-2025'!$F$17:$F$28</c:f>
              <c:numCache/>
            </c:numRef>
          </c:val>
          <c:smooth val="0"/>
        </c:ser>
        <c:axId val="1155710334"/>
        <c:axId val="1310870972"/>
      </c:lineChart>
      <c:catAx>
        <c:axId val="1155710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10870972"/>
      </c:catAx>
      <c:valAx>
        <c:axId val="1310870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710334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2024-2025'!$G$2:$G$14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2024-2025'!$G$17:$G$28</c:f>
              <c:numCache/>
            </c:numRef>
          </c:val>
          <c:smooth val="0"/>
        </c:ser>
        <c:axId val="2004143572"/>
        <c:axId val="669601488"/>
      </c:lineChart>
      <c:catAx>
        <c:axId val="2004143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9601488"/>
      </c:catAx>
      <c:valAx>
        <c:axId val="669601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143572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2024-2025'!$H$2:$H$14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2024-2025'!$H$17:$H$28</c:f>
              <c:numCache/>
            </c:numRef>
          </c:val>
          <c:smooth val="0"/>
        </c:ser>
        <c:axId val="599008794"/>
        <c:axId val="1016961943"/>
      </c:lineChart>
      <c:catAx>
        <c:axId val="59900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16961943"/>
      </c:catAx>
      <c:valAx>
        <c:axId val="1016961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008794"/>
      </c:valAx>
    </c:plotArea>
    <c:legend>
      <c:legendPos val="t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2025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2024-2025'!$I$2:$I$14</c:f>
              <c:numCache/>
            </c:numRef>
          </c:val>
          <c:smooth val="0"/>
        </c:ser>
        <c:ser>
          <c:idx val="1"/>
          <c:order val="1"/>
          <c:tx>
            <c:v>2024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2024-2025'!$I$17:$I$28</c:f>
              <c:numCache/>
            </c:numRef>
          </c:val>
          <c:smooth val="0"/>
        </c:ser>
        <c:axId val="429358151"/>
        <c:axId val="255502794"/>
      </c:lineChart>
      <c:catAx>
        <c:axId val="429358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55502794"/>
      </c:catAx>
      <c:valAx>
        <c:axId val="255502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358151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'Диаграммы 2024-2025'!$G$16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2024-2025'!$G$17:$G$28</c:f>
              <c:numCache/>
            </c:numRef>
          </c:val>
          <c:smooth val="0"/>
        </c:ser>
        <c:ser>
          <c:idx val="1"/>
          <c:order val="1"/>
          <c:tx>
            <c:v>Кол-во посещение сайта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2024-2025'!$C$2:$C$14</c:f>
            </c:strRef>
          </c:cat>
          <c:val>
            <c:numRef>
              <c:f>'Диаграммы 2024-2025'!$I$17:$I$28</c:f>
              <c:numCache/>
            </c:numRef>
          </c:val>
          <c:smooth val="0"/>
        </c:ser>
        <c:axId val="853988841"/>
        <c:axId val="1593542858"/>
      </c:lineChart>
      <c:catAx>
        <c:axId val="853988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93542858"/>
      </c:catAx>
      <c:valAx>
        <c:axId val="1593542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988841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Кол-во заказов пассажиров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2024-2025'!$Q$105:$Q$116</c:f>
            </c:strRef>
          </c:cat>
          <c:val>
            <c:numRef>
              <c:f>'Диаграммы 2024-2025'!$R$105:$R$116</c:f>
              <c:numCache/>
            </c:numRef>
          </c:val>
          <c:smooth val="0"/>
        </c:ser>
        <c:ser>
          <c:idx val="1"/>
          <c:order val="1"/>
          <c:tx>
            <c:v>Выполнено</c:v>
          </c:tx>
          <c:spPr>
            <a:ln cmpd="sng">
              <a:solidFill>
                <a:schemeClr val="accent4"/>
              </a:solidFill>
            </a:ln>
          </c:spPr>
          <c:marker>
            <c:symbol val="circle"/>
            <c:size val="10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'Диаграммы 2024-2025'!$Q$105:$Q$116</c:f>
            </c:strRef>
          </c:cat>
          <c:val>
            <c:numRef>
              <c:f>'Диаграммы 2024-2025'!$S$105:$S$116</c:f>
              <c:numCache/>
            </c:numRef>
          </c:val>
          <c:smooth val="0"/>
        </c:ser>
        <c:ser>
          <c:idx val="2"/>
          <c:order val="2"/>
          <c:tx>
            <c:strRef>
              <c:f>'Диаграммы 2024-2025'!$T$104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'Диаграммы 2024-2025'!$Q$105:$Q$116</c:f>
            </c:strRef>
          </c:cat>
          <c:val>
            <c:numRef>
              <c:f>'Диаграммы 2024-2025'!$T$105:$T$116</c:f>
              <c:numCache/>
            </c:numRef>
          </c:val>
          <c:smooth val="0"/>
        </c:ser>
        <c:axId val="64553837"/>
        <c:axId val="1509777680"/>
      </c:lineChart>
      <c:catAx>
        <c:axId val="64553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09777680"/>
      </c:catAx>
      <c:valAx>
        <c:axId val="1509777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53837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ТОП 10 Маршруты заказов водителей 2024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'Диаграммы 2024-2025'!$B$103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'Диаграммы 2024-2025'!$A$104:$A$113</c:f>
            </c:strRef>
          </c:cat>
          <c:val>
            <c:numRef>
              <c:f>'Диаграммы 2024-2025'!$B$104:$B$113</c:f>
              <c:numCache/>
            </c:numRef>
          </c:val>
        </c:ser>
        <c:axId val="722848945"/>
        <c:axId val="617400001"/>
      </c:bar3DChart>
      <c:catAx>
        <c:axId val="722848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617400001"/>
      </c:catAx>
      <c:valAx>
        <c:axId val="617400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848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ТОП 10 Маршруты заказов пассажиров 2024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'Диаграммы 2024-2025'!$B$214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'Диаграммы 2024-2025'!$A$215:$A$224</c:f>
            </c:strRef>
          </c:cat>
          <c:val>
            <c:numRef>
              <c:f>'Диаграммы 2024-2025'!$B$215:$B$224</c:f>
              <c:numCache/>
            </c:numRef>
          </c:val>
        </c:ser>
        <c:axId val="1777328955"/>
        <c:axId val="298785673"/>
      </c:bar3DChart>
      <c:catAx>
        <c:axId val="1777328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298785673"/>
      </c:catAx>
      <c:valAx>
        <c:axId val="298785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328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Количество заказов общие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2024-2025'!$A$2:$A$3</c:f>
            </c:strRef>
          </c:cat>
          <c:val>
            <c:numRef>
              <c:f>'Анализ 2024-2025'!$B$2:$B$3</c:f>
              <c:numCache/>
            </c:numRef>
          </c:val>
        </c:ser>
        <c:axId val="576848792"/>
        <c:axId val="1021358455"/>
      </c:bar3DChart>
      <c:catAx>
        <c:axId val="57684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021358455"/>
      </c:catAx>
      <c:valAx>
        <c:axId val="1021358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848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пассажиров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2024-2025'!$O$1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2024-2025'!$N$2:$N$3</c:f>
            </c:strRef>
          </c:cat>
          <c:val>
            <c:numRef>
              <c:f>'Анализ 2024-2025'!$O$2:$O$3</c:f>
              <c:numCache/>
            </c:numRef>
          </c:val>
        </c:ser>
        <c:axId val="540438158"/>
        <c:axId val="434395071"/>
      </c:bar3DChart>
      <c:catAx>
        <c:axId val="540438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434395071"/>
      </c:catAx>
      <c:valAx>
        <c:axId val="434395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438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пассажиров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2024-2025'!$R$2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900FF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2024-2025'!$Q$3:$Q$5</c:f>
            </c:strRef>
          </c:cat>
          <c:val>
            <c:numRef>
              <c:f>'Анализ 2024-2025'!$R$3:$R$5</c:f>
              <c:numCache/>
            </c:numRef>
          </c:val>
        </c:ser>
        <c:axId val="2133489106"/>
        <c:axId val="1026218064"/>
      </c:bar3DChart>
      <c:catAx>
        <c:axId val="2133489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026218064"/>
      </c:catAx>
      <c:valAx>
        <c:axId val="1026218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489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зарегистрированных пользователей сервиса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2024-2025'!$Y$1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2024-2025'!$X$2:$X$3</c:f>
            </c:strRef>
          </c:cat>
          <c:val>
            <c:numRef>
              <c:f>'Анализ 2024-2025'!$Y$2:$Y$3</c:f>
              <c:numCache/>
            </c:numRef>
          </c:val>
        </c:ser>
        <c:axId val="455025241"/>
        <c:axId val="936831362"/>
      </c:bar3DChart>
      <c:catAx>
        <c:axId val="455025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936831362"/>
      </c:catAx>
      <c:valAx>
        <c:axId val="936831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025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пользователей канала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2024-2025'!$AD$1</c:f>
            </c:strRef>
          </c:tx>
          <c:cat>
            <c:strRef>
              <c:f>'Анализ 2024-2025'!$AC$2:$AC$3</c:f>
            </c:strRef>
          </c:cat>
          <c:val>
            <c:numRef>
              <c:f>'Анализ 2024-2025'!$AD$2:$AD$3</c:f>
              <c:numCache/>
            </c:numRef>
          </c:val>
        </c:ser>
        <c:axId val="1698394347"/>
        <c:axId val="2015351412"/>
      </c:bar3DChart>
      <c:catAx>
        <c:axId val="1698394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15351412"/>
      </c:catAx>
      <c:valAx>
        <c:axId val="201535141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98394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посещений сайта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2024-2025'!$AH$1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2024-2025'!$AG$2:$AG$3</c:f>
            </c:strRef>
          </c:cat>
          <c:val>
            <c:numRef>
              <c:f>'Анализ 2024-2025'!$AH$2:$AH$3</c:f>
              <c:numCache/>
            </c:numRef>
          </c:val>
        </c:ser>
        <c:axId val="1736412891"/>
        <c:axId val="711295503"/>
      </c:bar3DChart>
      <c:catAx>
        <c:axId val="1736412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711295503"/>
      </c:catAx>
      <c:valAx>
        <c:axId val="711295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412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уникальных водителей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2024-2025'!$J$1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2024-2025'!$I$2:$I$3</c:f>
            </c:strRef>
          </c:cat>
          <c:val>
            <c:numRef>
              <c:f>'Анализ 2024-2025'!$J$2:$J$3</c:f>
              <c:numCache/>
            </c:numRef>
          </c:val>
        </c:ser>
        <c:axId val="1041405475"/>
        <c:axId val="1243387900"/>
      </c:bar3DChart>
      <c:catAx>
        <c:axId val="1041405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243387900"/>
      </c:catAx>
      <c:valAx>
        <c:axId val="1243387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405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уникальных пассажиров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2024-2025'!$U$1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2024-2025'!$T$2:$T$3</c:f>
            </c:strRef>
          </c:cat>
          <c:val>
            <c:numRef>
              <c:f>'Анализ 2024-2025'!$U$2:$U$3</c:f>
              <c:numCache/>
            </c:numRef>
          </c:val>
        </c:ser>
        <c:axId val="1779756882"/>
        <c:axId val="882781306"/>
      </c:bar3DChart>
      <c:catAx>
        <c:axId val="1779756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882781306"/>
      </c:catAx>
      <c:valAx>
        <c:axId val="882781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756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Кол-во общих заказов за 1-й квартал 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2024-2025'!$B$43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2024-2025'!$A$44:$A$45</c:f>
            </c:strRef>
          </c:cat>
          <c:val>
            <c:numRef>
              <c:f>'Анализ 2024-2025'!$B$44:$B$45</c:f>
              <c:numCache/>
            </c:numRef>
          </c:val>
        </c:ser>
        <c:axId val="1532458986"/>
        <c:axId val="972889120"/>
      </c:bar3DChart>
      <c:catAx>
        <c:axId val="1532458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972889120"/>
      </c:catAx>
      <c:valAx>
        <c:axId val="972889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458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водителей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2024-2025'!$G$1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2024-2025'!$F$2:$F$3</c:f>
            </c:strRef>
          </c:cat>
          <c:val>
            <c:numRef>
              <c:f>'Анализ 2024-2025'!$G$2:$G$3</c:f>
              <c:numCache/>
            </c:numRef>
          </c:val>
        </c:ser>
        <c:axId val="1029256115"/>
        <c:axId val="2011033513"/>
      </c:bar3DChart>
      <c:catAx>
        <c:axId val="1029256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11033513"/>
      </c:catAx>
      <c:valAx>
        <c:axId val="2011033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256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Кол-во заказов водителей за 1-й квартал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2024-2025'!$E$43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2024-2025'!$D$44:$D$45</c:f>
            </c:strRef>
          </c:cat>
          <c:val>
            <c:numRef>
              <c:f>'Анализ 2024-2025'!$E$44:$E$45</c:f>
              <c:numCache/>
            </c:numRef>
          </c:val>
        </c:ser>
        <c:axId val="1841860029"/>
        <c:axId val="2084296679"/>
      </c:bar3DChart>
      <c:catAx>
        <c:axId val="1841860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2084296679"/>
      </c:catAx>
      <c:valAx>
        <c:axId val="2084296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860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2024-2025'!$A$31:$A$34</c:f>
            </c:strRef>
          </c:cat>
          <c:val>
            <c:numRef>
              <c:f>'Анализ 2024-2025'!$B$31:$B$34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2024-2025'!$A$31:$A$34</c:f>
            </c:strRef>
          </c:cat>
          <c:val>
            <c:numRef>
              <c:f>'Анализ 2024-2025'!$I$31:$I$34</c:f>
              <c:numCache/>
            </c:numRef>
          </c:val>
          <c:smooth val="0"/>
        </c:ser>
        <c:axId val="355138338"/>
        <c:axId val="64042074"/>
      </c:lineChart>
      <c:catAx>
        <c:axId val="355138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64042074"/>
      </c:catAx>
      <c:valAx>
        <c:axId val="64042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138338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2024-2025'!$D$31:$D$33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2024-2025'!$I$31:$I$33</c:f>
              <c:numCache/>
            </c:numRef>
          </c:val>
          <c:smooth val="0"/>
        </c:ser>
        <c:axId val="966359815"/>
        <c:axId val="82067394"/>
      </c:lineChart>
      <c:catAx>
        <c:axId val="966359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82067394"/>
      </c:catAx>
      <c:valAx>
        <c:axId val="82067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359815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заказов пассажиров  за 1-й квартал 	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2024-2025'!$H$43</c:f>
            </c:strRef>
          </c:tx>
          <c:spPr>
            <a:solidFill>
              <a:schemeClr val="accent1"/>
            </a:solidFill>
            <a:ln cmpd="sng" w="76200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2024-2025'!$G$44:$G$45</c:f>
            </c:strRef>
          </c:cat>
          <c:val>
            <c:numRef>
              <c:f>'Анализ 2024-2025'!$H$44:$H$45</c:f>
              <c:numCache/>
            </c:numRef>
          </c:val>
        </c:ser>
        <c:axId val="1604025993"/>
        <c:axId val="1605902023"/>
      </c:bar3DChart>
      <c:catAx>
        <c:axId val="160402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605902023"/>
      </c:catAx>
      <c:valAx>
        <c:axId val="1605902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025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2024-2025'!$C$31:$C$33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2024-2025'!$I$31:$I$33</c:f>
              <c:numCache/>
            </c:numRef>
          </c:val>
          <c:smooth val="0"/>
        </c:ser>
        <c:axId val="1564789534"/>
        <c:axId val="1493404324"/>
      </c:lineChart>
      <c:catAx>
        <c:axId val="1564789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493404324"/>
      </c:catAx>
      <c:valAx>
        <c:axId val="1493404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789534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Кол-во зарегистрированных пользователей сервиса за 1-й квартал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'Анализ 2024-2025'!$L$43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30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'Анализ 2024-2025'!$K$44:$K$45</c:f>
            </c:strRef>
          </c:cat>
          <c:val>
            <c:numRef>
              <c:f>'Анализ 2024-2025'!$L$44:$L$45</c:f>
              <c:numCache/>
            </c:numRef>
          </c:val>
        </c:ser>
        <c:axId val="500597659"/>
        <c:axId val="136765760"/>
      </c:bar3DChart>
      <c:catAx>
        <c:axId val="500597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36765760"/>
      </c:catAx>
      <c:valAx>
        <c:axId val="136765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597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2024-2025'!$E$31:$E$33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2024-2025'!$I$31:$I$33</c:f>
              <c:numCache/>
            </c:numRef>
          </c:val>
          <c:smooth val="0"/>
        </c:ser>
        <c:axId val="131929460"/>
        <c:axId val="975489674"/>
      </c:lineChart>
      <c:catAx>
        <c:axId val="131929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975489674"/>
      </c:catAx>
      <c:valAx>
        <c:axId val="975489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29460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2024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2024-2025'!$B$31:$B$33</c:f>
              <c:numCache/>
            </c:numRef>
          </c:val>
          <c:smooth val="0"/>
        </c:ser>
        <c:ser>
          <c:idx val="1"/>
          <c:order val="1"/>
          <c:tx>
            <c:v>2025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4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'Анализ 2024-2025'!$A$31:$A$33</c:f>
            </c:strRef>
          </c:cat>
          <c:val>
            <c:numRef>
              <c:f>'Анализ 2024-2025'!$I$31:$I$33</c:f>
              <c:numCache/>
            </c:numRef>
          </c:val>
          <c:smooth val="0"/>
        </c:ser>
        <c:axId val="130177641"/>
        <c:axId val="537152611"/>
      </c:lineChart>
      <c:catAx>
        <c:axId val="130177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537152611"/>
      </c:catAx>
      <c:valAx>
        <c:axId val="537152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77641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10" Type="http://schemas.openxmlformats.org/officeDocument/2006/relationships/chart" Target="../charts/chart21.xml"/><Relationship Id="rId9" Type="http://schemas.openxmlformats.org/officeDocument/2006/relationships/chart" Target="../charts/chart20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2.xml"/><Relationship Id="rId10" Type="http://schemas.openxmlformats.org/officeDocument/2006/relationships/chart" Target="../charts/chart31.xml"/><Relationship Id="rId13" Type="http://schemas.openxmlformats.org/officeDocument/2006/relationships/chart" Target="../charts/chart34.xml"/><Relationship Id="rId12" Type="http://schemas.openxmlformats.org/officeDocument/2006/relationships/chart" Target="../charts/chart33.xml"/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5" Type="http://schemas.openxmlformats.org/officeDocument/2006/relationships/chart" Target="../charts/chart36.xml"/><Relationship Id="rId14" Type="http://schemas.openxmlformats.org/officeDocument/2006/relationships/chart" Target="../charts/chart35.xml"/><Relationship Id="rId17" Type="http://schemas.openxmlformats.org/officeDocument/2006/relationships/chart" Target="../charts/chart38.xml"/><Relationship Id="rId16" Type="http://schemas.openxmlformats.org/officeDocument/2006/relationships/chart" Target="../charts/chart37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18" Type="http://schemas.openxmlformats.org/officeDocument/2006/relationships/chart" Target="../charts/chart39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</Relationships>
</file>

<file path=xl/drawings/_rels/drawing8.xml.rels><?xml version="1.0" encoding="UTF-8" standalone="yes"?><Relationships xmlns="http://schemas.openxmlformats.org/package/2006/relationships"><Relationship Id="rId10" Type="http://schemas.openxmlformats.org/officeDocument/2006/relationships/chart" Target="../charts/chart49.xml"/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Relationship Id="rId5" Type="http://schemas.openxmlformats.org/officeDocument/2006/relationships/chart" Target="../charts/chart44.xml"/><Relationship Id="rId6" Type="http://schemas.openxmlformats.org/officeDocument/2006/relationships/chart" Target="../charts/chart45.xml"/><Relationship Id="rId7" Type="http://schemas.openxmlformats.org/officeDocument/2006/relationships/chart" Target="../charts/chart46.xml"/><Relationship Id="rId8" Type="http://schemas.openxmlformats.org/officeDocument/2006/relationships/chart" Target="../charts/chart47.xm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60.xml"/><Relationship Id="rId10" Type="http://schemas.openxmlformats.org/officeDocument/2006/relationships/chart" Target="../charts/chart59.xml"/><Relationship Id="rId13" Type="http://schemas.openxmlformats.org/officeDocument/2006/relationships/chart" Target="../charts/chart62.xml"/><Relationship Id="rId12" Type="http://schemas.openxmlformats.org/officeDocument/2006/relationships/chart" Target="../charts/chart61.xml"/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chart" Target="../charts/chart53.xml"/><Relationship Id="rId9" Type="http://schemas.openxmlformats.org/officeDocument/2006/relationships/chart" Target="../charts/chart58.xml"/><Relationship Id="rId15" Type="http://schemas.openxmlformats.org/officeDocument/2006/relationships/chart" Target="../charts/chart64.xml"/><Relationship Id="rId14" Type="http://schemas.openxmlformats.org/officeDocument/2006/relationships/chart" Target="../charts/chart63.xml"/><Relationship Id="rId17" Type="http://schemas.openxmlformats.org/officeDocument/2006/relationships/chart" Target="../charts/chart66.xml"/><Relationship Id="rId16" Type="http://schemas.openxmlformats.org/officeDocument/2006/relationships/chart" Target="../charts/chart65.xml"/><Relationship Id="rId5" Type="http://schemas.openxmlformats.org/officeDocument/2006/relationships/chart" Target="../charts/chart54.xml"/><Relationship Id="rId6" Type="http://schemas.openxmlformats.org/officeDocument/2006/relationships/chart" Target="../charts/chart55.xml"/><Relationship Id="rId18" Type="http://schemas.openxmlformats.org/officeDocument/2006/relationships/chart" Target="../charts/chart67.xml"/><Relationship Id="rId7" Type="http://schemas.openxmlformats.org/officeDocument/2006/relationships/chart" Target="../charts/chart56.xml"/><Relationship Id="rId8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180975</xdr:rowOff>
    </xdr:from>
    <xdr:ext cx="3952875" cy="244792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542925</xdr:colOff>
      <xdr:row>6</xdr:row>
      <xdr:rowOff>180975</xdr:rowOff>
    </xdr:from>
    <xdr:ext cx="3838575" cy="25431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704850</xdr:colOff>
      <xdr:row>6</xdr:row>
      <xdr:rowOff>180975</xdr:rowOff>
    </xdr:from>
    <xdr:ext cx="3400425" cy="22764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466725</xdr:colOff>
      <xdr:row>7</xdr:row>
      <xdr:rowOff>104775</xdr:rowOff>
    </xdr:from>
    <xdr:ext cx="6143625" cy="3752850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333375</xdr:colOff>
      <xdr:row>18</xdr:row>
      <xdr:rowOff>123825</xdr:rowOff>
    </xdr:from>
    <xdr:ext cx="6800850" cy="41433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504825</xdr:colOff>
      <xdr:row>9</xdr:row>
      <xdr:rowOff>200025</xdr:rowOff>
    </xdr:from>
    <xdr:ext cx="6515100" cy="398145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0</xdr:rowOff>
    </xdr:from>
    <xdr:ext cx="8467725" cy="3619500"/>
    <xdr:graphicFrame>
      <xdr:nvGraphicFramePr>
        <xdr:cNvPr id="18" name="Chart 18" title="Кол-во заказов общие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0</xdr:colOff>
      <xdr:row>42</xdr:row>
      <xdr:rowOff>0</xdr:rowOff>
    </xdr:from>
    <xdr:ext cx="7143750" cy="3048000"/>
    <xdr:graphicFrame>
      <xdr:nvGraphicFramePr>
        <xdr:cNvPr id="21" name="Chart 21" title="Кол-во заказов пассажиро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0</xdr:colOff>
      <xdr:row>42</xdr:row>
      <xdr:rowOff>0</xdr:rowOff>
    </xdr:from>
    <xdr:ext cx="7143750" cy="3048000"/>
    <xdr:graphicFrame>
      <xdr:nvGraphicFramePr>
        <xdr:cNvPr id="24" name="Chart 24" title="Кол-во заказов водителей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352425</xdr:colOff>
      <xdr:row>69</xdr:row>
      <xdr:rowOff>123825</xdr:rowOff>
    </xdr:from>
    <xdr:ext cx="7096125" cy="4381500"/>
    <xdr:graphicFrame>
      <xdr:nvGraphicFramePr>
        <xdr:cNvPr id="27" name="Chart 27" title="Кол-во зарегистрированных пользователей сервис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125</xdr:row>
      <xdr:rowOff>0</xdr:rowOff>
    </xdr:from>
    <xdr:ext cx="5715000" cy="3810000"/>
    <xdr:graphicFrame>
      <xdr:nvGraphicFramePr>
        <xdr:cNvPr id="31" name="Chart 31" title="Сравнительный анализ: Кол-во посещений сайт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</xdr:row>
      <xdr:rowOff>0</xdr:rowOff>
    </xdr:from>
    <xdr:ext cx="8715375" cy="423862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409575</xdr:colOff>
      <xdr:row>1</xdr:row>
      <xdr:rowOff>0</xdr:rowOff>
    </xdr:from>
    <xdr:ext cx="8715375" cy="42386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9525</xdr:colOff>
      <xdr:row>18</xdr:row>
      <xdr:rowOff>19050</xdr:rowOff>
    </xdr:from>
    <xdr:ext cx="8715375" cy="42386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409575</xdr:colOff>
      <xdr:row>18</xdr:row>
      <xdr:rowOff>19050</xdr:rowOff>
    </xdr:from>
    <xdr:ext cx="8715375" cy="423862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9525</xdr:colOff>
      <xdr:row>38</xdr:row>
      <xdr:rowOff>47625</xdr:rowOff>
    </xdr:from>
    <xdr:ext cx="8715375" cy="423862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409575</xdr:colOff>
      <xdr:row>38</xdr:row>
      <xdr:rowOff>47625</xdr:rowOff>
    </xdr:from>
    <xdr:ext cx="8715375" cy="423862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9525</xdr:colOff>
      <xdr:row>59</xdr:row>
      <xdr:rowOff>85725</xdr:rowOff>
    </xdr:from>
    <xdr:ext cx="8715375" cy="423862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838200</xdr:colOff>
      <xdr:row>59</xdr:row>
      <xdr:rowOff>85725</xdr:rowOff>
    </xdr:from>
    <xdr:ext cx="6810375" cy="431482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971550</xdr:colOff>
      <xdr:row>102</xdr:row>
      <xdr:rowOff>104775</xdr:rowOff>
    </xdr:from>
    <xdr:ext cx="11287125" cy="6915150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971550</xdr:colOff>
      <xdr:row>220</xdr:row>
      <xdr:rowOff>104775</xdr:rowOff>
    </xdr:from>
    <xdr:ext cx="11287125" cy="6915150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114300</xdr:rowOff>
    </xdr:from>
    <xdr:ext cx="3952875" cy="244792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885825</xdr:colOff>
      <xdr:row>5</xdr:row>
      <xdr:rowOff>85725</xdr:rowOff>
    </xdr:from>
    <xdr:ext cx="3409950" cy="20859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38100</xdr:colOff>
      <xdr:row>16</xdr:row>
      <xdr:rowOff>38100</xdr:rowOff>
    </xdr:from>
    <xdr:ext cx="3724275" cy="22764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390525</xdr:colOff>
      <xdr:row>8</xdr:row>
      <xdr:rowOff>76200</xdr:rowOff>
    </xdr:from>
    <xdr:ext cx="3600450" cy="219075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238125</xdr:colOff>
      <xdr:row>8</xdr:row>
      <xdr:rowOff>66675</xdr:rowOff>
    </xdr:from>
    <xdr:ext cx="3724275" cy="227647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30</xdr:col>
      <xdr:colOff>533400</xdr:colOff>
      <xdr:row>9</xdr:row>
      <xdr:rowOff>85725</xdr:rowOff>
    </xdr:from>
    <xdr:ext cx="3781425" cy="23145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809625</xdr:colOff>
      <xdr:row>7</xdr:row>
      <xdr:rowOff>142875</xdr:rowOff>
    </xdr:from>
    <xdr:ext cx="3952875" cy="244792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18</xdr:col>
      <xdr:colOff>219075</xdr:colOff>
      <xdr:row>5</xdr:row>
      <xdr:rowOff>190500</xdr:rowOff>
    </xdr:from>
    <xdr:ext cx="3724275" cy="2276475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114300</xdr:rowOff>
    </xdr:from>
    <xdr:ext cx="3952875" cy="244792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209550</xdr:colOff>
      <xdr:row>7</xdr:row>
      <xdr:rowOff>85725</xdr:rowOff>
    </xdr:from>
    <xdr:ext cx="3267075" cy="2028825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</xdr:col>
      <xdr:colOff>438150</xdr:colOff>
      <xdr:row>47</xdr:row>
      <xdr:rowOff>85725</xdr:rowOff>
    </xdr:from>
    <xdr:ext cx="3829050" cy="2514600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9525</xdr:colOff>
      <xdr:row>64</xdr:row>
      <xdr:rowOff>0</xdr:rowOff>
    </xdr:from>
    <xdr:ext cx="4943475" cy="240982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161925</xdr:colOff>
      <xdr:row>64</xdr:row>
      <xdr:rowOff>0</xdr:rowOff>
    </xdr:from>
    <xdr:ext cx="4448175" cy="2190750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895350</xdr:colOff>
      <xdr:row>47</xdr:row>
      <xdr:rowOff>114300</xdr:rowOff>
    </xdr:from>
    <xdr:ext cx="3067050" cy="2028825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457200</xdr:colOff>
      <xdr:row>65</xdr:row>
      <xdr:rowOff>190500</xdr:rowOff>
    </xdr:from>
    <xdr:ext cx="3028950" cy="1495425"/>
    <xdr:graphicFrame>
      <xdr:nvGraphicFramePr>
        <xdr:cNvPr id="39" name="Chart 3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9</xdr:col>
      <xdr:colOff>790575</xdr:colOff>
      <xdr:row>47</xdr:row>
      <xdr:rowOff>85725</xdr:rowOff>
    </xdr:from>
    <xdr:ext cx="3724275" cy="2276475"/>
    <xdr:graphicFrame>
      <xdr:nvGraphicFramePr>
        <xdr:cNvPr id="40" name="Chart 4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11</xdr:col>
      <xdr:colOff>57150</xdr:colOff>
      <xdr:row>69</xdr:row>
      <xdr:rowOff>57150</xdr:rowOff>
    </xdr:from>
    <xdr:ext cx="5715000" cy="2638425"/>
    <xdr:graphicFrame>
      <xdr:nvGraphicFramePr>
        <xdr:cNvPr id="42" name="Chart 4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190500</xdr:rowOff>
    </xdr:from>
    <xdr:ext cx="7696200" cy="4591050"/>
    <xdr:graphicFrame>
      <xdr:nvGraphicFramePr>
        <xdr:cNvPr id="44" name="Chart 4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971550</xdr:colOff>
      <xdr:row>18</xdr:row>
      <xdr:rowOff>19050</xdr:rowOff>
    </xdr:from>
    <xdr:ext cx="8715375" cy="4238625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971550</xdr:colOff>
      <xdr:row>1</xdr:row>
      <xdr:rowOff>0</xdr:rowOff>
    </xdr:from>
    <xdr:ext cx="8715375" cy="423862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9525</xdr:colOff>
      <xdr:row>18</xdr:row>
      <xdr:rowOff>19050</xdr:rowOff>
    </xdr:from>
    <xdr:ext cx="8715375" cy="4238625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438150</xdr:colOff>
      <xdr:row>1</xdr:row>
      <xdr:rowOff>0</xdr:rowOff>
    </xdr:from>
    <xdr:ext cx="8715375" cy="4238625"/>
    <xdr:graphicFrame>
      <xdr:nvGraphicFramePr>
        <xdr:cNvPr id="41" name="Chart 4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200025</xdr:colOff>
      <xdr:row>38</xdr:row>
      <xdr:rowOff>47625</xdr:rowOff>
    </xdr:from>
    <xdr:ext cx="8715375" cy="4238625"/>
    <xdr:graphicFrame>
      <xdr:nvGraphicFramePr>
        <xdr:cNvPr id="43" name="Chart 4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409575</xdr:colOff>
      <xdr:row>38</xdr:row>
      <xdr:rowOff>47625</xdr:rowOff>
    </xdr:from>
    <xdr:ext cx="8715375" cy="4238625"/>
    <xdr:graphicFrame>
      <xdr:nvGraphicFramePr>
        <xdr:cNvPr id="45" name="Chart 4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9525</xdr:colOff>
      <xdr:row>59</xdr:row>
      <xdr:rowOff>85725</xdr:rowOff>
    </xdr:from>
    <xdr:ext cx="8715375" cy="4238625"/>
    <xdr:graphicFrame>
      <xdr:nvGraphicFramePr>
        <xdr:cNvPr id="47" name="Chart 4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838200</xdr:colOff>
      <xdr:row>59</xdr:row>
      <xdr:rowOff>85725</xdr:rowOff>
    </xdr:from>
    <xdr:ext cx="6810375" cy="4314825"/>
    <xdr:graphicFrame>
      <xdr:nvGraphicFramePr>
        <xdr:cNvPr id="49" name="Chart 4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971550</xdr:colOff>
      <xdr:row>102</xdr:row>
      <xdr:rowOff>104775</xdr:rowOff>
    </xdr:from>
    <xdr:ext cx="11287125" cy="6915150"/>
    <xdr:graphicFrame>
      <xdr:nvGraphicFramePr>
        <xdr:cNvPr id="51" name="Chart 5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971550</xdr:colOff>
      <xdr:row>220</xdr:row>
      <xdr:rowOff>104775</xdr:rowOff>
    </xdr:from>
    <xdr:ext cx="11287125" cy="6915150"/>
    <xdr:graphicFrame>
      <xdr:nvGraphicFramePr>
        <xdr:cNvPr id="54" name="Chart 5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114300</xdr:rowOff>
    </xdr:from>
    <xdr:ext cx="3952875" cy="2447925"/>
    <xdr:graphicFrame>
      <xdr:nvGraphicFramePr>
        <xdr:cNvPr id="46" name="Chart 4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885825</xdr:colOff>
      <xdr:row>5</xdr:row>
      <xdr:rowOff>85725</xdr:rowOff>
    </xdr:from>
    <xdr:ext cx="3409950" cy="2085975"/>
    <xdr:graphicFrame>
      <xdr:nvGraphicFramePr>
        <xdr:cNvPr id="48" name="Chart 4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38100</xdr:colOff>
      <xdr:row>16</xdr:row>
      <xdr:rowOff>38100</xdr:rowOff>
    </xdr:from>
    <xdr:ext cx="3724275" cy="2276475"/>
    <xdr:graphicFrame>
      <xdr:nvGraphicFramePr>
        <xdr:cNvPr id="50" name="Chart 5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390525</xdr:colOff>
      <xdr:row>8</xdr:row>
      <xdr:rowOff>76200</xdr:rowOff>
    </xdr:from>
    <xdr:ext cx="3600450" cy="2190750"/>
    <xdr:graphicFrame>
      <xdr:nvGraphicFramePr>
        <xdr:cNvPr id="52" name="Chart 5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238125</xdr:colOff>
      <xdr:row>8</xdr:row>
      <xdr:rowOff>66675</xdr:rowOff>
    </xdr:from>
    <xdr:ext cx="3724275" cy="2276475"/>
    <xdr:graphicFrame>
      <xdr:nvGraphicFramePr>
        <xdr:cNvPr id="53" name="Chart 5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30</xdr:col>
      <xdr:colOff>533400</xdr:colOff>
      <xdr:row>9</xdr:row>
      <xdr:rowOff>85725</xdr:rowOff>
    </xdr:from>
    <xdr:ext cx="3781425" cy="2314575"/>
    <xdr:graphicFrame>
      <xdr:nvGraphicFramePr>
        <xdr:cNvPr id="55" name="Chart 5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809625</xdr:colOff>
      <xdr:row>7</xdr:row>
      <xdr:rowOff>142875</xdr:rowOff>
    </xdr:from>
    <xdr:ext cx="3952875" cy="2447925"/>
    <xdr:graphicFrame>
      <xdr:nvGraphicFramePr>
        <xdr:cNvPr id="56" name="Chart 5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18</xdr:col>
      <xdr:colOff>219075</xdr:colOff>
      <xdr:row>5</xdr:row>
      <xdr:rowOff>190500</xdr:rowOff>
    </xdr:from>
    <xdr:ext cx="3724275" cy="2276475"/>
    <xdr:graphicFrame>
      <xdr:nvGraphicFramePr>
        <xdr:cNvPr id="57" name="Chart 5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114300</xdr:rowOff>
    </xdr:from>
    <xdr:ext cx="3952875" cy="2447925"/>
    <xdr:graphicFrame>
      <xdr:nvGraphicFramePr>
        <xdr:cNvPr id="58" name="Chart 5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209550</xdr:colOff>
      <xdr:row>7</xdr:row>
      <xdr:rowOff>85725</xdr:rowOff>
    </xdr:from>
    <xdr:ext cx="3267075" cy="2028825"/>
    <xdr:graphicFrame>
      <xdr:nvGraphicFramePr>
        <xdr:cNvPr id="59" name="Chart 5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</xdr:col>
      <xdr:colOff>438150</xdr:colOff>
      <xdr:row>47</xdr:row>
      <xdr:rowOff>85725</xdr:rowOff>
    </xdr:from>
    <xdr:ext cx="3829050" cy="2514600"/>
    <xdr:graphicFrame>
      <xdr:nvGraphicFramePr>
        <xdr:cNvPr id="60" name="Chart 6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9525</xdr:colOff>
      <xdr:row>64</xdr:row>
      <xdr:rowOff>0</xdr:rowOff>
    </xdr:from>
    <xdr:ext cx="4943475" cy="2409825"/>
    <xdr:graphicFrame>
      <xdr:nvGraphicFramePr>
        <xdr:cNvPr id="61" name="Chart 6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161925</xdr:colOff>
      <xdr:row>64</xdr:row>
      <xdr:rowOff>0</xdr:rowOff>
    </xdr:from>
    <xdr:ext cx="4448175" cy="2190750"/>
    <xdr:graphicFrame>
      <xdr:nvGraphicFramePr>
        <xdr:cNvPr id="62" name="Chart 6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895350</xdr:colOff>
      <xdr:row>47</xdr:row>
      <xdr:rowOff>114300</xdr:rowOff>
    </xdr:from>
    <xdr:ext cx="3067050" cy="2028825"/>
    <xdr:graphicFrame>
      <xdr:nvGraphicFramePr>
        <xdr:cNvPr id="63" name="Chart 6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457200</xdr:colOff>
      <xdr:row>65</xdr:row>
      <xdr:rowOff>190500</xdr:rowOff>
    </xdr:from>
    <xdr:ext cx="3028950" cy="1495425"/>
    <xdr:graphicFrame>
      <xdr:nvGraphicFramePr>
        <xdr:cNvPr id="64" name="Chart 6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9</xdr:col>
      <xdr:colOff>790575</xdr:colOff>
      <xdr:row>47</xdr:row>
      <xdr:rowOff>85725</xdr:rowOff>
    </xdr:from>
    <xdr:ext cx="3724275" cy="2276475"/>
    <xdr:graphicFrame>
      <xdr:nvGraphicFramePr>
        <xdr:cNvPr id="65" name="Chart 6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11</xdr:col>
      <xdr:colOff>57150</xdr:colOff>
      <xdr:row>69</xdr:row>
      <xdr:rowOff>57150</xdr:rowOff>
    </xdr:from>
    <xdr:ext cx="5715000" cy="2638425"/>
    <xdr:graphicFrame>
      <xdr:nvGraphicFramePr>
        <xdr:cNvPr id="66" name="Chart 6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77</xdr:row>
      <xdr:rowOff>190500</xdr:rowOff>
    </xdr:from>
    <xdr:ext cx="7696200" cy="4591050"/>
    <xdr:graphicFrame>
      <xdr:nvGraphicFramePr>
        <xdr:cNvPr id="67" name="Chart 6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8.13"/>
    <col customWidth="1" min="3" max="3" width="9.38"/>
    <col customWidth="1" min="4" max="4" width="6.13"/>
    <col customWidth="1" min="5" max="5" width="7.88"/>
    <col customWidth="1" min="6" max="6" width="5.25"/>
    <col customWidth="1" min="7" max="7" width="6.13"/>
    <col customWidth="1" min="8" max="8" width="6.25"/>
    <col customWidth="1" min="9" max="9" width="7.0"/>
    <col customWidth="1" min="10" max="10" width="8.5"/>
    <col customWidth="1" min="11" max="11" width="7.5"/>
    <col customWidth="1" min="12" max="12" width="6.13"/>
    <col customWidth="1" min="13" max="13" width="7.5"/>
    <col customWidth="1" min="14" max="14" width="13.13"/>
  </cols>
  <sheetData>
    <row r="2">
      <c r="A2" s="2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9"/>
    </row>
    <row r="3">
      <c r="A3" s="12" t="s">
        <v>3</v>
      </c>
      <c r="B3" s="13" t="s">
        <v>4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20</v>
      </c>
      <c r="K3" s="13" t="s">
        <v>21</v>
      </c>
      <c r="L3" s="13" t="s">
        <v>22</v>
      </c>
      <c r="M3" s="13" t="s">
        <v>23</v>
      </c>
      <c r="N3" s="13" t="s">
        <v>17</v>
      </c>
      <c r="O3" s="9"/>
    </row>
    <row r="4">
      <c r="A4" s="18" t="s">
        <v>18</v>
      </c>
      <c r="B4" s="25">
        <f t="shared" ref="B4:M4" si="1">SUM(B5:B6)</f>
        <v>56</v>
      </c>
      <c r="C4" s="25">
        <f t="shared" si="1"/>
        <v>8</v>
      </c>
      <c r="D4" s="25">
        <f t="shared" si="1"/>
        <v>94</v>
      </c>
      <c r="E4" s="25">
        <f t="shared" si="1"/>
        <v>115</v>
      </c>
      <c r="F4" s="25">
        <f t="shared" si="1"/>
        <v>245</v>
      </c>
      <c r="G4" s="25">
        <f t="shared" si="1"/>
        <v>306</v>
      </c>
      <c r="H4" s="25">
        <f t="shared" si="1"/>
        <v>362</v>
      </c>
      <c r="I4" s="25">
        <f t="shared" si="1"/>
        <v>441</v>
      </c>
      <c r="J4" s="25">
        <f t="shared" si="1"/>
        <v>235</v>
      </c>
      <c r="K4" s="25">
        <f t="shared" si="1"/>
        <v>328</v>
      </c>
      <c r="L4" s="25">
        <f t="shared" si="1"/>
        <v>513</v>
      </c>
      <c r="M4" s="25">
        <f t="shared" si="1"/>
        <v>324</v>
      </c>
      <c r="N4" s="29">
        <f t="shared" ref="N4:N7" si="2">SUM(B4:M4)</f>
        <v>3027</v>
      </c>
      <c r="O4" s="31" t="s">
        <v>25</v>
      </c>
    </row>
    <row r="5">
      <c r="A5" s="18" t="s">
        <v>26</v>
      </c>
      <c r="B5" s="26">
        <v>32.0</v>
      </c>
      <c r="C5" s="26">
        <v>6.0</v>
      </c>
      <c r="D5" s="26">
        <v>48.0</v>
      </c>
      <c r="E5" s="26">
        <v>44.0</v>
      </c>
      <c r="F5" s="26">
        <v>111.0</v>
      </c>
      <c r="G5" s="26">
        <v>132.0</v>
      </c>
      <c r="H5" s="26">
        <v>108.0</v>
      </c>
      <c r="I5" s="26">
        <v>131.0</v>
      </c>
      <c r="J5" s="26">
        <v>53.0</v>
      </c>
      <c r="K5" s="26">
        <v>94.0</v>
      </c>
      <c r="L5" s="26">
        <v>170.0</v>
      </c>
      <c r="M5" s="34">
        <v>136.0</v>
      </c>
      <c r="N5" s="29">
        <f t="shared" si="2"/>
        <v>1065</v>
      </c>
      <c r="O5" s="9"/>
    </row>
    <row r="6">
      <c r="A6" s="18" t="s">
        <v>27</v>
      </c>
      <c r="B6" s="26">
        <v>24.0</v>
      </c>
      <c r="C6" s="26">
        <v>2.0</v>
      </c>
      <c r="D6" s="26">
        <v>46.0</v>
      </c>
      <c r="E6" s="26">
        <v>71.0</v>
      </c>
      <c r="F6" s="26">
        <v>134.0</v>
      </c>
      <c r="G6" s="26">
        <v>174.0</v>
      </c>
      <c r="H6" s="26">
        <v>254.0</v>
      </c>
      <c r="I6" s="26">
        <v>310.0</v>
      </c>
      <c r="J6" s="26">
        <v>182.0</v>
      </c>
      <c r="K6" s="26">
        <v>234.0</v>
      </c>
      <c r="L6" s="26">
        <v>343.0</v>
      </c>
      <c r="M6" s="34">
        <v>188.0</v>
      </c>
      <c r="N6" s="29">
        <f t="shared" si="2"/>
        <v>1962</v>
      </c>
      <c r="O6" s="9"/>
    </row>
    <row r="7">
      <c r="A7" s="38" t="s">
        <v>28</v>
      </c>
      <c r="B7" s="25">
        <v>0.0</v>
      </c>
      <c r="C7" s="25">
        <v>12.0</v>
      </c>
      <c r="D7" s="25">
        <v>71.0</v>
      </c>
      <c r="E7" s="25">
        <v>61.0</v>
      </c>
      <c r="F7" s="25">
        <v>147.0</v>
      </c>
      <c r="G7" s="25">
        <v>131.0</v>
      </c>
      <c r="H7" s="25">
        <v>120.0</v>
      </c>
      <c r="I7" s="25">
        <v>110.0</v>
      </c>
      <c r="J7" s="25">
        <v>115.0</v>
      </c>
      <c r="K7" s="26">
        <v>191.0</v>
      </c>
      <c r="L7" s="26">
        <v>178.0</v>
      </c>
      <c r="M7" s="34">
        <v>68.0</v>
      </c>
      <c r="N7" s="29">
        <f t="shared" si="2"/>
        <v>1204</v>
      </c>
      <c r="O7" s="9"/>
    </row>
    <row r="8">
      <c r="A8" s="39" t="s">
        <v>29</v>
      </c>
      <c r="B8" s="25" t="s">
        <v>30</v>
      </c>
      <c r="C8" s="25" t="s">
        <v>30</v>
      </c>
      <c r="D8" s="25" t="s">
        <v>30</v>
      </c>
      <c r="E8" s="25">
        <v>440.0</v>
      </c>
      <c r="F8" s="25">
        <f>440+185</f>
        <v>625</v>
      </c>
      <c r="G8" s="25">
        <f>F8+183</f>
        <v>808</v>
      </c>
      <c r="H8" s="46">
        <f>G8+240</f>
        <v>1048</v>
      </c>
      <c r="I8" s="46">
        <v>1149.0</v>
      </c>
      <c r="J8" s="46">
        <v>1213.0</v>
      </c>
      <c r="K8" s="46">
        <v>1278.0</v>
      </c>
      <c r="L8" s="46">
        <v>1342.0</v>
      </c>
      <c r="M8" s="51">
        <v>1355.0</v>
      </c>
      <c r="N8" s="56">
        <v>1355.0</v>
      </c>
      <c r="O8" s="9"/>
    </row>
    <row r="9">
      <c r="A9" s="39" t="s">
        <v>31</v>
      </c>
      <c r="B9" s="57" t="s">
        <v>32</v>
      </c>
      <c r="C9" s="5"/>
      <c r="D9" s="5"/>
      <c r="E9" s="5"/>
      <c r="F9" s="5"/>
      <c r="G9" s="58"/>
      <c r="H9" s="25">
        <v>360.0</v>
      </c>
      <c r="I9" s="25">
        <v>581.0</v>
      </c>
      <c r="J9" s="25">
        <v>479.0</v>
      </c>
      <c r="K9" s="25">
        <v>727.0</v>
      </c>
      <c r="L9" s="25">
        <v>533.0</v>
      </c>
      <c r="M9" s="34">
        <v>742.0</v>
      </c>
      <c r="N9" s="29">
        <f>SUM(B9:M9)</f>
        <v>3422</v>
      </c>
      <c r="O9" s="9"/>
    </row>
    <row r="12">
      <c r="A12" s="1" t="s">
        <v>33</v>
      </c>
    </row>
    <row r="13">
      <c r="A13" s="1" t="s">
        <v>35</v>
      </c>
    </row>
    <row r="14">
      <c r="A14" s="1" t="s">
        <v>36</v>
      </c>
    </row>
    <row r="16">
      <c r="A16" s="1" t="s">
        <v>37</v>
      </c>
      <c r="H16" s="62"/>
    </row>
    <row r="17">
      <c r="A17" s="1" t="s">
        <v>38</v>
      </c>
    </row>
    <row r="18">
      <c r="A18" s="1" t="s">
        <v>39</v>
      </c>
    </row>
    <row r="20">
      <c r="A20" s="1" t="s">
        <v>40</v>
      </c>
    </row>
    <row r="21">
      <c r="A21" s="1" t="s">
        <v>41</v>
      </c>
    </row>
    <row r="22">
      <c r="A22" s="1" t="s">
        <v>42</v>
      </c>
    </row>
    <row r="24">
      <c r="A24" s="1" t="s">
        <v>43</v>
      </c>
    </row>
    <row r="25">
      <c r="A25" s="1" t="s">
        <v>45</v>
      </c>
    </row>
    <row r="26">
      <c r="A26" s="1" t="s">
        <v>46</v>
      </c>
    </row>
    <row r="28">
      <c r="A28" s="1" t="s">
        <v>47</v>
      </c>
    </row>
    <row r="29">
      <c r="A29" s="1" t="s">
        <v>48</v>
      </c>
    </row>
    <row r="30">
      <c r="A30" s="1" t="s">
        <v>49</v>
      </c>
    </row>
    <row r="32">
      <c r="A32" s="1" t="s">
        <v>50</v>
      </c>
    </row>
    <row r="33">
      <c r="A33" s="1" t="s">
        <v>51</v>
      </c>
    </row>
    <row r="34">
      <c r="A34" s="1" t="s">
        <v>52</v>
      </c>
    </row>
    <row r="36">
      <c r="A36" s="1" t="s">
        <v>53</v>
      </c>
    </row>
    <row r="37">
      <c r="A37" s="1" t="s">
        <v>54</v>
      </c>
    </row>
    <row r="38">
      <c r="A38" s="1" t="s">
        <v>55</v>
      </c>
    </row>
    <row r="40">
      <c r="A40" s="1" t="s">
        <v>56</v>
      </c>
    </row>
    <row r="41">
      <c r="A41" s="1" t="s">
        <v>57</v>
      </c>
    </row>
    <row r="42">
      <c r="A42" s="1" t="s">
        <v>58</v>
      </c>
    </row>
    <row r="44">
      <c r="A44" s="1" t="s">
        <v>59</v>
      </c>
    </row>
    <row r="45">
      <c r="A45" s="1" t="s">
        <v>60</v>
      </c>
    </row>
    <row r="46">
      <c r="A46" s="1" t="s">
        <v>61</v>
      </c>
    </row>
  </sheetData>
  <mergeCells count="2">
    <mergeCell ref="A2:N2"/>
    <mergeCell ref="B9:G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  <col customWidth="1" min="3" max="3" width="7.13"/>
    <col customWidth="1" min="4" max="4" width="8.38"/>
    <col customWidth="1" min="5" max="5" width="5.13"/>
    <col customWidth="1" min="6" max="6" width="7.25"/>
    <col customWidth="1" min="7" max="7" width="4.75"/>
    <col customWidth="1" min="8" max="9" width="5.63"/>
    <col customWidth="1" min="10" max="10" width="6.5"/>
    <col customWidth="1" min="11" max="11" width="9.0"/>
    <col customWidth="1" min="12" max="12" width="8.0"/>
    <col customWidth="1" min="13" max="13" width="7.25"/>
    <col customWidth="1" min="14" max="14" width="8.0"/>
    <col customWidth="1" min="15" max="15" width="9.25"/>
    <col customWidth="1" min="17" max="17" width="18.13"/>
    <col customWidth="1" min="20" max="20" width="13.63"/>
    <col customWidth="1" min="21" max="21" width="33.5"/>
    <col customWidth="1" min="22" max="22" width="7.75"/>
    <col customWidth="1" min="23" max="23" width="9.13"/>
    <col customWidth="1" min="24" max="24" width="5.5"/>
    <col customWidth="1" min="25" max="25" width="7.88"/>
    <col customWidth="1" min="26" max="26" width="5.13"/>
    <col customWidth="1" min="27" max="28" width="6.13"/>
    <col customWidth="1" min="29" max="29" width="7.13"/>
    <col customWidth="1" min="30" max="30" width="9.75"/>
    <col customWidth="1" min="31" max="31" width="8.63"/>
    <col customWidth="1" min="32" max="32" width="7.88"/>
    <col customWidth="1" min="33" max="33" width="8.63"/>
    <col customWidth="1" min="34" max="34" width="6.13"/>
  </cols>
  <sheetData>
    <row r="1">
      <c r="A1" s="1" t="s">
        <v>0</v>
      </c>
      <c r="T1" s="7"/>
    </row>
    <row r="2">
      <c r="B2" s="11" t="s">
        <v>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/>
      <c r="T2" s="15"/>
      <c r="U2" s="16"/>
      <c r="V2" s="16"/>
      <c r="W2" s="16"/>
      <c r="X2" s="16"/>
      <c r="Y2" s="16"/>
      <c r="Z2" s="16"/>
    </row>
    <row r="3">
      <c r="B3" s="17" t="s">
        <v>3</v>
      </c>
      <c r="C3" s="17" t="s">
        <v>4</v>
      </c>
      <c r="D3" s="17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17" t="s">
        <v>12</v>
      </c>
      <c r="K3" s="19" t="s">
        <v>13</v>
      </c>
      <c r="L3" s="19" t="s">
        <v>14</v>
      </c>
      <c r="M3" s="19" t="s">
        <v>15</v>
      </c>
      <c r="N3" s="19" t="s">
        <v>16</v>
      </c>
      <c r="O3" s="17" t="s">
        <v>17</v>
      </c>
      <c r="Q3" s="28" t="s">
        <v>24</v>
      </c>
      <c r="T3" s="21"/>
      <c r="U3" s="22"/>
      <c r="V3" s="22"/>
      <c r="W3" s="22"/>
      <c r="X3" s="22"/>
      <c r="Y3" s="22"/>
      <c r="Z3" s="22"/>
    </row>
    <row r="4">
      <c r="B4" s="23" t="s">
        <v>18</v>
      </c>
      <c r="C4" s="25">
        <f t="shared" ref="C4:O4" si="1">SUM(C5:C6)</f>
        <v>391</v>
      </c>
      <c r="D4" s="25">
        <f t="shared" si="1"/>
        <v>353</v>
      </c>
      <c r="E4" s="25">
        <f t="shared" si="1"/>
        <v>433</v>
      </c>
      <c r="F4" s="25">
        <f t="shared" si="1"/>
        <v>421</v>
      </c>
      <c r="G4" s="25">
        <f t="shared" si="1"/>
        <v>439</v>
      </c>
      <c r="H4" s="25">
        <f t="shared" si="1"/>
        <v>604</v>
      </c>
      <c r="I4" s="25">
        <f t="shared" si="1"/>
        <v>741</v>
      </c>
      <c r="J4" s="25">
        <f t="shared" si="1"/>
        <v>1146</v>
      </c>
      <c r="K4" s="25">
        <f t="shared" si="1"/>
        <v>1132</v>
      </c>
      <c r="L4" s="25">
        <f t="shared" si="1"/>
        <v>1110</v>
      </c>
      <c r="M4" s="25">
        <f t="shared" si="1"/>
        <v>948</v>
      </c>
      <c r="N4" s="25">
        <f t="shared" si="1"/>
        <v>516</v>
      </c>
      <c r="O4" s="44">
        <f t="shared" si="1"/>
        <v>8234</v>
      </c>
      <c r="Q4" s="28">
        <v>3027.0</v>
      </c>
      <c r="R4" s="54">
        <f>(O4/Q4)</f>
        <v>2.720185002</v>
      </c>
      <c r="T4" s="21"/>
      <c r="U4" s="22"/>
      <c r="V4" s="22"/>
      <c r="W4" s="22"/>
      <c r="X4" s="22"/>
      <c r="Y4" s="22"/>
      <c r="Z4" s="22"/>
    </row>
    <row r="5">
      <c r="B5" s="23" t="s">
        <v>26</v>
      </c>
      <c r="C5" s="26">
        <v>155.0</v>
      </c>
      <c r="D5" s="26">
        <v>113.0</v>
      </c>
      <c r="E5" s="26">
        <v>177.0</v>
      </c>
      <c r="F5" s="37">
        <v>159.0</v>
      </c>
      <c r="G5" s="25">
        <v>163.0</v>
      </c>
      <c r="H5" s="26">
        <f>214+31</f>
        <v>245</v>
      </c>
      <c r="I5" s="26">
        <v>266.0</v>
      </c>
      <c r="J5" s="26">
        <v>303.0</v>
      </c>
      <c r="K5" s="26">
        <v>233.0</v>
      </c>
      <c r="L5" s="25">
        <v>234.0</v>
      </c>
      <c r="M5" s="25">
        <v>207.0</v>
      </c>
      <c r="N5" s="26">
        <v>121.0</v>
      </c>
      <c r="O5" s="44">
        <f t="shared" ref="O5:O7" si="2">SUM(C5:N5)</f>
        <v>2376</v>
      </c>
      <c r="Q5" s="28">
        <v>1065.0</v>
      </c>
      <c r="T5" s="21"/>
      <c r="U5" s="22"/>
      <c r="V5" s="22"/>
      <c r="W5" s="22"/>
      <c r="X5" s="22"/>
      <c r="Y5" s="22"/>
      <c r="Z5" s="22"/>
    </row>
    <row r="6">
      <c r="B6" s="23" t="s">
        <v>27</v>
      </c>
      <c r="C6" s="26">
        <v>236.0</v>
      </c>
      <c r="D6" s="26">
        <v>240.0</v>
      </c>
      <c r="E6" s="26">
        <v>256.0</v>
      </c>
      <c r="F6" s="37">
        <v>262.0</v>
      </c>
      <c r="G6" s="25">
        <v>276.0</v>
      </c>
      <c r="H6" s="26">
        <f>287+72</f>
        <v>359</v>
      </c>
      <c r="I6" s="26">
        <v>475.0</v>
      </c>
      <c r="J6" s="26">
        <v>843.0</v>
      </c>
      <c r="K6" s="26">
        <v>899.0</v>
      </c>
      <c r="L6" s="36">
        <v>876.0</v>
      </c>
      <c r="M6" s="25">
        <v>741.0</v>
      </c>
      <c r="N6" s="26">
        <v>395.0</v>
      </c>
      <c r="O6" s="72">
        <f t="shared" si="2"/>
        <v>5858</v>
      </c>
      <c r="Q6" s="28">
        <v>1962.0</v>
      </c>
      <c r="T6" s="21"/>
      <c r="U6" s="22"/>
      <c r="V6" s="22"/>
      <c r="W6" s="22"/>
      <c r="X6" s="22"/>
      <c r="Y6" s="22"/>
      <c r="Z6" s="22"/>
    </row>
    <row r="7">
      <c r="B7" s="42" t="s">
        <v>28</v>
      </c>
      <c r="C7" s="43">
        <v>105.0</v>
      </c>
      <c r="D7" s="43">
        <v>88.0</v>
      </c>
      <c r="E7" s="43">
        <v>81.0</v>
      </c>
      <c r="F7" s="43">
        <v>65.0</v>
      </c>
      <c r="G7" s="43">
        <v>61.0</v>
      </c>
      <c r="H7" s="43">
        <v>92.0</v>
      </c>
      <c r="I7" s="43">
        <v>95.0</v>
      </c>
      <c r="J7" s="43">
        <v>259.0</v>
      </c>
      <c r="K7" s="43">
        <v>264.0</v>
      </c>
      <c r="L7" s="35">
        <v>173.0</v>
      </c>
      <c r="M7" s="35">
        <v>127.0</v>
      </c>
      <c r="N7" s="43">
        <v>135.0</v>
      </c>
      <c r="O7" s="78">
        <f t="shared" si="2"/>
        <v>1545</v>
      </c>
      <c r="R7" s="50"/>
      <c r="S7" s="50"/>
      <c r="T7" s="21"/>
      <c r="U7" s="22"/>
      <c r="V7" s="22"/>
      <c r="W7" s="22"/>
      <c r="X7" s="22"/>
      <c r="Y7" s="22"/>
      <c r="Z7" s="22"/>
      <c r="AA7" s="50"/>
      <c r="AB7" s="50"/>
      <c r="AC7" s="50"/>
      <c r="AD7" s="50"/>
      <c r="AE7" s="50"/>
      <c r="AF7" s="50"/>
      <c r="AG7" s="50"/>
      <c r="AH7" s="50"/>
    </row>
    <row r="8">
      <c r="B8" s="52" t="s">
        <v>29</v>
      </c>
      <c r="C8" s="27">
        <v>1657.0</v>
      </c>
      <c r="D8" s="27">
        <v>1696.0</v>
      </c>
      <c r="E8" s="27">
        <v>1780.0</v>
      </c>
      <c r="F8" s="27">
        <v>1815.0</v>
      </c>
      <c r="G8" s="27">
        <v>1815.0</v>
      </c>
      <c r="H8" s="27">
        <v>1854.0</v>
      </c>
      <c r="I8" s="53">
        <v>1885.0</v>
      </c>
      <c r="J8" s="53">
        <v>2045.0</v>
      </c>
      <c r="K8" s="53">
        <v>2107.0</v>
      </c>
      <c r="L8" s="45">
        <v>2153.0</v>
      </c>
      <c r="M8" s="45">
        <v>2181.0</v>
      </c>
      <c r="N8" s="53">
        <v>2284.0</v>
      </c>
      <c r="O8" s="78">
        <v>2284.0</v>
      </c>
      <c r="T8" s="21"/>
      <c r="U8" s="22"/>
      <c r="V8" s="22"/>
      <c r="W8" s="22"/>
      <c r="X8" s="22"/>
      <c r="Y8" s="22"/>
      <c r="Z8" s="22"/>
    </row>
    <row r="9">
      <c r="B9" s="52" t="s">
        <v>31</v>
      </c>
      <c r="C9" s="27">
        <v>132.0</v>
      </c>
      <c r="D9" s="27">
        <v>251.0</v>
      </c>
      <c r="E9" s="27">
        <v>149.0</v>
      </c>
      <c r="F9" s="27">
        <v>121.0</v>
      </c>
      <c r="G9" s="27">
        <v>767.0</v>
      </c>
      <c r="H9" s="27">
        <v>1200.0</v>
      </c>
      <c r="I9" s="27">
        <v>1600.0</v>
      </c>
      <c r="J9" s="27">
        <v>1600.0</v>
      </c>
      <c r="K9" s="27">
        <v>983.0</v>
      </c>
      <c r="L9" s="35">
        <v>236.0</v>
      </c>
      <c r="M9" s="35">
        <v>122.0</v>
      </c>
      <c r="N9" s="27">
        <v>522.0</v>
      </c>
      <c r="O9" s="78">
        <f>SUM(C9:N9)</f>
        <v>7683</v>
      </c>
      <c r="T9" s="21"/>
      <c r="U9" s="22"/>
      <c r="V9" s="22"/>
      <c r="W9" s="22"/>
      <c r="X9" s="22"/>
      <c r="Y9" s="60"/>
      <c r="Z9" s="22"/>
    </row>
    <row r="10">
      <c r="T10" s="21"/>
      <c r="U10" s="22"/>
      <c r="V10" s="22"/>
      <c r="W10" s="22"/>
      <c r="X10" s="22"/>
      <c r="Y10" s="60"/>
      <c r="Z10" s="22"/>
    </row>
    <row r="11">
      <c r="F11" s="65"/>
      <c r="G11" s="65"/>
      <c r="T11" s="66"/>
      <c r="U11" s="22"/>
      <c r="V11" s="22"/>
      <c r="W11" s="22"/>
      <c r="X11" s="22"/>
      <c r="Y11" s="60"/>
      <c r="Z11" s="22"/>
    </row>
    <row r="12">
      <c r="A12" s="68"/>
      <c r="T12" s="66"/>
      <c r="U12" s="22"/>
      <c r="V12" s="22"/>
      <c r="W12" s="22"/>
      <c r="X12" s="22"/>
      <c r="Y12" s="60"/>
      <c r="Z12" s="22"/>
    </row>
    <row r="13">
      <c r="Q13" s="88" t="s">
        <v>27</v>
      </c>
      <c r="R13" s="6"/>
      <c r="T13" s="66"/>
      <c r="U13" s="22"/>
      <c r="V13" s="22"/>
      <c r="W13" s="22"/>
      <c r="X13" s="22"/>
      <c r="Y13" s="60"/>
      <c r="Z13" s="22"/>
    </row>
    <row r="14">
      <c r="Q14" s="1">
        <v>2024.0</v>
      </c>
      <c r="R14" s="1">
        <v>2641.0</v>
      </c>
      <c r="T14" s="66"/>
      <c r="U14" s="22"/>
      <c r="V14" s="22"/>
      <c r="W14" s="22"/>
      <c r="X14" s="22"/>
      <c r="Y14" s="60"/>
      <c r="Z14" s="22"/>
    </row>
    <row r="15">
      <c r="Q15" s="1">
        <v>2025.0</v>
      </c>
      <c r="R15" s="1">
        <v>6036.0</v>
      </c>
      <c r="T15" s="21"/>
      <c r="U15" s="21"/>
      <c r="V15" s="21"/>
      <c r="W15" s="21"/>
      <c r="X15" s="21"/>
      <c r="Y15" s="21"/>
      <c r="Z15" s="21"/>
    </row>
    <row r="16">
      <c r="R16" s="95">
        <f>(R15-R14)/R14*100%</f>
        <v>1.285497917</v>
      </c>
      <c r="T16" s="83"/>
      <c r="U16" s="83"/>
      <c r="V16" s="83"/>
      <c r="W16" s="83"/>
      <c r="X16" s="83"/>
      <c r="Y16" s="83"/>
      <c r="Z16" s="83"/>
    </row>
    <row r="17">
      <c r="T17" s="83"/>
      <c r="U17" s="83"/>
      <c r="V17" s="83"/>
      <c r="W17" s="83"/>
      <c r="X17" s="83"/>
      <c r="Y17" s="83"/>
      <c r="Z17" s="83"/>
    </row>
    <row r="18">
      <c r="O18" s="84"/>
      <c r="P18" s="84"/>
      <c r="Q18" s="84"/>
      <c r="R18" s="84"/>
      <c r="S18" s="84"/>
      <c r="T18" s="98" t="s">
        <v>66</v>
      </c>
      <c r="U18" s="99" t="s">
        <v>67</v>
      </c>
      <c r="V18" s="100" t="s">
        <v>4</v>
      </c>
      <c r="W18" s="100" t="s">
        <v>6</v>
      </c>
      <c r="X18" s="100" t="s">
        <v>7</v>
      </c>
      <c r="Y18" s="100" t="s">
        <v>8</v>
      </c>
      <c r="Z18" s="100" t="s">
        <v>9</v>
      </c>
      <c r="AA18" s="100" t="s">
        <v>10</v>
      </c>
      <c r="AB18" s="100" t="s">
        <v>11</v>
      </c>
      <c r="AC18" s="100" t="s">
        <v>12</v>
      </c>
      <c r="AD18" s="101" t="s">
        <v>13</v>
      </c>
      <c r="AE18" s="101" t="s">
        <v>14</v>
      </c>
      <c r="AF18" s="101" t="s">
        <v>15</v>
      </c>
      <c r="AG18" s="101" t="s">
        <v>16</v>
      </c>
      <c r="AH18" s="100" t="s">
        <v>17</v>
      </c>
    </row>
    <row r="19">
      <c r="R19" s="65"/>
      <c r="S19" s="65"/>
      <c r="U19" s="103" t="s">
        <v>18</v>
      </c>
      <c r="V19" s="104">
        <v>391.0</v>
      </c>
      <c r="W19" s="104">
        <v>353.0</v>
      </c>
      <c r="X19" s="104">
        <v>433.0</v>
      </c>
      <c r="Y19" s="104">
        <v>421.0</v>
      </c>
      <c r="Z19" s="104">
        <v>439.0</v>
      </c>
      <c r="AA19" s="104">
        <v>604.0</v>
      </c>
      <c r="AB19" s="104">
        <v>741.0</v>
      </c>
      <c r="AC19" s="104">
        <v>1146.0</v>
      </c>
      <c r="AD19" s="104">
        <v>1132.0</v>
      </c>
      <c r="AE19" s="104">
        <v>1110.0</v>
      </c>
      <c r="AF19" s="104">
        <v>948.0</v>
      </c>
      <c r="AG19" s="104">
        <v>516.0</v>
      </c>
      <c r="AH19" s="100">
        <v>8234.0</v>
      </c>
    </row>
    <row r="20">
      <c r="O20" s="85"/>
      <c r="P20" s="65"/>
      <c r="Q20" s="65"/>
      <c r="R20" s="65"/>
      <c r="S20" s="65"/>
      <c r="U20" s="103" t="s">
        <v>26</v>
      </c>
      <c r="V20" s="104">
        <v>155.0</v>
      </c>
      <c r="W20" s="104">
        <v>113.0</v>
      </c>
      <c r="X20" s="104">
        <v>177.0</v>
      </c>
      <c r="Y20" s="104">
        <v>159.0</v>
      </c>
      <c r="Z20" s="104">
        <v>163.0</v>
      </c>
      <c r="AA20" s="104">
        <v>245.0</v>
      </c>
      <c r="AB20" s="104">
        <v>266.0</v>
      </c>
      <c r="AC20" s="104">
        <v>303.0</v>
      </c>
      <c r="AD20" s="104">
        <v>233.0</v>
      </c>
      <c r="AE20" s="104">
        <v>234.0</v>
      </c>
      <c r="AF20" s="104">
        <v>207.0</v>
      </c>
      <c r="AG20" s="104">
        <v>121.0</v>
      </c>
      <c r="AH20" s="100">
        <v>2376.0</v>
      </c>
    </row>
    <row r="21">
      <c r="O21" s="65"/>
      <c r="P21" s="86"/>
      <c r="Q21" s="86"/>
      <c r="R21" s="86"/>
      <c r="S21" s="87"/>
      <c r="U21" s="103" t="s">
        <v>27</v>
      </c>
      <c r="V21" s="104">
        <v>236.0</v>
      </c>
      <c r="W21" s="104">
        <v>240.0</v>
      </c>
      <c r="X21" s="104">
        <v>256.0</v>
      </c>
      <c r="Y21" s="104">
        <v>262.0</v>
      </c>
      <c r="Z21" s="104">
        <v>276.0</v>
      </c>
      <c r="AA21" s="104">
        <v>359.0</v>
      </c>
      <c r="AB21" s="104">
        <v>475.0</v>
      </c>
      <c r="AC21" s="104">
        <v>843.0</v>
      </c>
      <c r="AD21" s="104">
        <v>899.0</v>
      </c>
      <c r="AE21" s="104">
        <v>876.0</v>
      </c>
      <c r="AF21" s="104">
        <v>741.0</v>
      </c>
      <c r="AG21" s="104">
        <v>395.0</v>
      </c>
      <c r="AH21" s="100">
        <v>5858.0</v>
      </c>
    </row>
    <row r="22">
      <c r="U22" s="103" t="s">
        <v>28</v>
      </c>
      <c r="V22" s="104">
        <v>105.0</v>
      </c>
      <c r="W22" s="104">
        <v>88.0</v>
      </c>
      <c r="X22" s="104">
        <v>81.0</v>
      </c>
      <c r="Y22" s="104">
        <v>65.0</v>
      </c>
      <c r="Z22" s="104">
        <v>61.0</v>
      </c>
      <c r="AA22" s="104">
        <v>92.0</v>
      </c>
      <c r="AB22" s="104">
        <v>95.0</v>
      </c>
      <c r="AC22" s="104">
        <v>259.0</v>
      </c>
      <c r="AD22" s="104">
        <v>264.0</v>
      </c>
      <c r="AE22" s="104">
        <v>173.0</v>
      </c>
      <c r="AF22" s="104">
        <v>127.0</v>
      </c>
      <c r="AG22" s="104">
        <v>135.0</v>
      </c>
      <c r="AH22" s="100">
        <v>1545.0</v>
      </c>
    </row>
    <row r="23">
      <c r="B23" s="71" t="s">
        <v>3</v>
      </c>
      <c r="C23" s="17" t="s">
        <v>4</v>
      </c>
      <c r="D23" s="17" t="s">
        <v>6</v>
      </c>
      <c r="E23" s="17" t="s">
        <v>7</v>
      </c>
      <c r="F23" s="17" t="s">
        <v>8</v>
      </c>
      <c r="G23" s="17" t="s">
        <v>9</v>
      </c>
      <c r="H23" s="17" t="s">
        <v>10</v>
      </c>
      <c r="I23" s="17" t="s">
        <v>11</v>
      </c>
      <c r="J23" s="17" t="s">
        <v>12</v>
      </c>
      <c r="K23" s="19" t="s">
        <v>13</v>
      </c>
      <c r="L23" s="19" t="s">
        <v>14</v>
      </c>
      <c r="M23" s="19" t="s">
        <v>15</v>
      </c>
      <c r="N23" s="19" t="s">
        <v>16</v>
      </c>
      <c r="O23" s="17" t="s">
        <v>17</v>
      </c>
      <c r="P23" s="1" t="s">
        <v>65</v>
      </c>
      <c r="U23" s="103" t="s">
        <v>29</v>
      </c>
      <c r="V23" s="104">
        <v>1657.0</v>
      </c>
      <c r="W23" s="104">
        <v>1696.0</v>
      </c>
      <c r="X23" s="104">
        <v>1780.0</v>
      </c>
      <c r="Y23" s="104">
        <v>1815.0</v>
      </c>
      <c r="Z23" s="104">
        <v>1815.0</v>
      </c>
      <c r="AA23" s="104">
        <v>1854.0</v>
      </c>
      <c r="AB23" s="106">
        <v>1885.0</v>
      </c>
      <c r="AC23" s="106">
        <v>2045.0</v>
      </c>
      <c r="AD23" s="106">
        <v>2107.0</v>
      </c>
      <c r="AE23" s="106">
        <v>2153.0</v>
      </c>
      <c r="AF23" s="106">
        <v>2181.0</v>
      </c>
      <c r="AG23" s="106">
        <v>2284.0</v>
      </c>
      <c r="AH23" s="100">
        <v>2284.0</v>
      </c>
    </row>
    <row r="24">
      <c r="B24" s="74" t="s">
        <v>26</v>
      </c>
      <c r="C24" s="27">
        <v>155.0</v>
      </c>
      <c r="D24" s="27">
        <v>113.0</v>
      </c>
      <c r="E24" s="27">
        <v>177.0</v>
      </c>
      <c r="F24" s="37">
        <v>159.0</v>
      </c>
      <c r="G24" s="24">
        <v>163.0</v>
      </c>
      <c r="H24" s="27">
        <f>214+31</f>
        <v>245</v>
      </c>
      <c r="I24" s="27">
        <v>266.0</v>
      </c>
      <c r="J24" s="27">
        <v>303.0</v>
      </c>
      <c r="K24" s="27">
        <v>233.0</v>
      </c>
      <c r="L24" s="24">
        <v>234.0</v>
      </c>
      <c r="M24" s="24">
        <v>207.0</v>
      </c>
      <c r="N24" s="27">
        <v>121.0</v>
      </c>
      <c r="O24" s="78">
        <f t="shared" ref="O24:O27" si="3">SUM(C24:N24)</f>
        <v>2376</v>
      </c>
      <c r="U24" s="103" t="s">
        <v>31</v>
      </c>
      <c r="V24" s="104">
        <v>132.0</v>
      </c>
      <c r="W24" s="104">
        <v>251.0</v>
      </c>
      <c r="X24" s="104">
        <v>149.0</v>
      </c>
      <c r="Y24" s="104">
        <v>121.0</v>
      </c>
      <c r="Z24" s="104">
        <v>767.0</v>
      </c>
      <c r="AA24" s="104">
        <v>1200.0</v>
      </c>
      <c r="AB24" s="104">
        <v>1600.0</v>
      </c>
      <c r="AC24" s="104">
        <v>1600.0</v>
      </c>
      <c r="AD24" s="104">
        <v>983.0</v>
      </c>
      <c r="AE24" s="104">
        <v>236.0</v>
      </c>
      <c r="AF24" s="104">
        <v>122.0</v>
      </c>
      <c r="AG24" s="104">
        <v>522.0</v>
      </c>
      <c r="AH24" s="100">
        <v>7683.0</v>
      </c>
    </row>
    <row r="25">
      <c r="B25" s="71" t="s">
        <v>62</v>
      </c>
      <c r="C25" s="69"/>
      <c r="D25" s="107">
        <v>52.0</v>
      </c>
      <c r="E25" s="107">
        <v>53.0</v>
      </c>
      <c r="F25" s="107">
        <v>65.0</v>
      </c>
      <c r="G25" s="107">
        <v>71.0</v>
      </c>
      <c r="H25" s="107">
        <v>74.0</v>
      </c>
      <c r="I25" s="107">
        <v>107.0</v>
      </c>
      <c r="J25" s="107">
        <v>118.0</v>
      </c>
      <c r="K25" s="107">
        <v>118.0</v>
      </c>
      <c r="L25" s="107">
        <v>106.0</v>
      </c>
      <c r="M25" s="107">
        <v>121.0</v>
      </c>
      <c r="N25" s="67">
        <v>52.0</v>
      </c>
      <c r="O25" s="69">
        <f t="shared" si="3"/>
        <v>937</v>
      </c>
      <c r="T25" s="83"/>
      <c r="U25" s="83"/>
      <c r="V25" s="83"/>
      <c r="W25" s="83"/>
      <c r="X25" s="83"/>
      <c r="Y25" s="83"/>
      <c r="Z25" s="83"/>
    </row>
    <row r="26">
      <c r="B26" s="71" t="s">
        <v>63</v>
      </c>
      <c r="C26" s="69"/>
      <c r="D26" s="107">
        <v>40.0</v>
      </c>
      <c r="E26" s="107">
        <v>76.0</v>
      </c>
      <c r="F26" s="107">
        <v>44.0</v>
      </c>
      <c r="G26" s="107">
        <v>49.0</v>
      </c>
      <c r="H26" s="107">
        <v>89.0</v>
      </c>
      <c r="I26" s="107">
        <v>53.0</v>
      </c>
      <c r="J26" s="107">
        <v>54.0</v>
      </c>
      <c r="K26" s="107">
        <v>54.0</v>
      </c>
      <c r="L26" s="107">
        <v>51.0</v>
      </c>
      <c r="M26" s="107">
        <v>36.0</v>
      </c>
      <c r="N26" s="67">
        <v>17.0</v>
      </c>
      <c r="O26" s="69">
        <f t="shared" si="3"/>
        <v>563</v>
      </c>
      <c r="T26" s="83"/>
      <c r="U26" s="103" t="s">
        <v>18</v>
      </c>
      <c r="V26" s="100" t="s">
        <v>4</v>
      </c>
      <c r="W26" s="100" t="s">
        <v>6</v>
      </c>
      <c r="X26" s="100" t="s">
        <v>7</v>
      </c>
      <c r="Y26" s="100" t="s">
        <v>8</v>
      </c>
      <c r="Z26" s="100" t="s">
        <v>9</v>
      </c>
      <c r="AA26" s="100" t="s">
        <v>10</v>
      </c>
      <c r="AB26" s="100" t="s">
        <v>11</v>
      </c>
      <c r="AC26" s="100" t="s">
        <v>12</v>
      </c>
      <c r="AD26" s="101" t="s">
        <v>13</v>
      </c>
      <c r="AE26" s="101" t="s">
        <v>14</v>
      </c>
      <c r="AF26" s="101" t="s">
        <v>15</v>
      </c>
      <c r="AG26" s="101" t="s">
        <v>16</v>
      </c>
      <c r="AH26" s="100" t="s">
        <v>17</v>
      </c>
    </row>
    <row r="27">
      <c r="B27" s="71" t="s">
        <v>64</v>
      </c>
      <c r="C27" s="69"/>
      <c r="D27" s="107">
        <v>21.0</v>
      </c>
      <c r="E27" s="107">
        <v>11.0</v>
      </c>
      <c r="F27" s="107">
        <v>12.0</v>
      </c>
      <c r="G27" s="107">
        <v>8.0</v>
      </c>
      <c r="H27" s="107">
        <v>39.0</v>
      </c>
      <c r="I27" s="107">
        <v>89.0</v>
      </c>
      <c r="J27" s="107">
        <v>32.0</v>
      </c>
      <c r="K27" s="107">
        <v>25.0</v>
      </c>
      <c r="L27" s="107">
        <v>11.0</v>
      </c>
      <c r="M27" s="107">
        <v>6.0</v>
      </c>
      <c r="N27" s="67">
        <v>7.0</v>
      </c>
      <c r="O27" s="69">
        <f t="shared" si="3"/>
        <v>261</v>
      </c>
      <c r="T27" s="83"/>
      <c r="U27" s="99">
        <v>2024.0</v>
      </c>
      <c r="V27" s="104">
        <v>391.0</v>
      </c>
      <c r="W27" s="104">
        <v>353.0</v>
      </c>
      <c r="X27" s="104">
        <v>433.0</v>
      </c>
      <c r="Y27" s="104">
        <v>421.0</v>
      </c>
      <c r="Z27" s="104">
        <v>439.0</v>
      </c>
      <c r="AA27" s="104">
        <v>604.0</v>
      </c>
      <c r="AB27" s="104">
        <v>741.0</v>
      </c>
      <c r="AC27" s="104">
        <v>1146.0</v>
      </c>
      <c r="AD27" s="104">
        <v>1132.0</v>
      </c>
      <c r="AE27" s="104">
        <v>1110.0</v>
      </c>
      <c r="AF27" s="104">
        <v>948.0</v>
      </c>
      <c r="AG27" s="104">
        <v>516.0</v>
      </c>
      <c r="AH27" s="100">
        <f t="shared" ref="AH27:AH28" si="4">SUM(V27:AG27)</f>
        <v>8234</v>
      </c>
    </row>
    <row r="28">
      <c r="T28" s="83"/>
      <c r="U28" s="99">
        <v>2023.0</v>
      </c>
      <c r="V28" s="104">
        <v>56.0</v>
      </c>
      <c r="W28" s="104">
        <v>8.0</v>
      </c>
      <c r="X28" s="104">
        <v>94.0</v>
      </c>
      <c r="Y28" s="104">
        <v>115.0</v>
      </c>
      <c r="Z28" s="104">
        <v>245.0</v>
      </c>
      <c r="AA28" s="104">
        <v>306.0</v>
      </c>
      <c r="AB28" s="104">
        <v>362.0</v>
      </c>
      <c r="AC28" s="104">
        <v>441.0</v>
      </c>
      <c r="AD28" s="104">
        <v>235.0</v>
      </c>
      <c r="AE28" s="104">
        <v>328.0</v>
      </c>
      <c r="AF28" s="104">
        <v>513.0</v>
      </c>
      <c r="AG28" s="104">
        <v>324.0</v>
      </c>
      <c r="AH28" s="100">
        <f t="shared" si="4"/>
        <v>3027</v>
      </c>
    </row>
    <row r="29">
      <c r="T29" s="83"/>
      <c r="U29" s="83"/>
      <c r="V29" s="83"/>
      <c r="W29" s="83"/>
      <c r="X29" s="83"/>
      <c r="Y29" s="83"/>
      <c r="Z29" s="83"/>
    </row>
    <row r="30">
      <c r="T30" s="83"/>
      <c r="U30" s="83"/>
      <c r="V30" s="83"/>
      <c r="W30" s="83"/>
      <c r="X30" s="83"/>
      <c r="Y30" s="83"/>
      <c r="Z30" s="83"/>
    </row>
    <row r="31">
      <c r="T31" s="83"/>
      <c r="U31" s="83"/>
      <c r="V31" s="83"/>
      <c r="W31" s="83"/>
      <c r="X31" s="83"/>
      <c r="Y31" s="83"/>
      <c r="Z31" s="83"/>
    </row>
    <row r="32">
      <c r="T32" s="83"/>
      <c r="U32" s="83"/>
      <c r="V32" s="83"/>
      <c r="W32" s="83"/>
      <c r="X32" s="83"/>
      <c r="Y32" s="83"/>
      <c r="Z32" s="83"/>
    </row>
    <row r="33">
      <c r="T33" s="83"/>
      <c r="U33" s="83"/>
      <c r="V33" s="83"/>
      <c r="W33" s="83"/>
      <c r="X33" s="83"/>
      <c r="Y33" s="83"/>
      <c r="Z33" s="83"/>
    </row>
    <row r="34">
      <c r="T34" s="83"/>
      <c r="U34" s="83"/>
      <c r="V34" s="83"/>
      <c r="W34" s="83"/>
      <c r="X34" s="83"/>
      <c r="Y34" s="83"/>
      <c r="Z34" s="83"/>
    </row>
    <row r="35">
      <c r="T35" s="83"/>
      <c r="U35" s="83"/>
      <c r="V35" s="83"/>
      <c r="W35" s="83"/>
      <c r="X35" s="83"/>
      <c r="Y35" s="83"/>
      <c r="Z35" s="83"/>
    </row>
    <row r="36">
      <c r="T36" s="83"/>
      <c r="U36" s="83"/>
      <c r="V36" s="83"/>
      <c r="W36" s="83"/>
      <c r="X36" s="83"/>
      <c r="Y36" s="83"/>
      <c r="Z36" s="83"/>
    </row>
    <row r="37">
      <c r="T37" s="83"/>
      <c r="U37" s="83"/>
      <c r="V37" s="83"/>
      <c r="W37" s="83"/>
      <c r="X37" s="83"/>
      <c r="Y37" s="83"/>
      <c r="Z37" s="83"/>
    </row>
    <row r="38">
      <c r="T38" s="83"/>
      <c r="U38" s="83"/>
      <c r="V38" s="83"/>
      <c r="W38" s="83"/>
      <c r="X38" s="83"/>
      <c r="Y38" s="83"/>
      <c r="Z38" s="83"/>
    </row>
    <row r="39">
      <c r="T39" s="83"/>
      <c r="U39" s="83"/>
      <c r="V39" s="83"/>
      <c r="W39" s="83"/>
      <c r="X39" s="83"/>
      <c r="Y39" s="83"/>
      <c r="Z39" s="83"/>
    </row>
    <row r="40">
      <c r="T40" s="83"/>
      <c r="U40" s="83"/>
      <c r="V40" s="83"/>
      <c r="W40" s="83"/>
      <c r="X40" s="83"/>
      <c r="Y40" s="83"/>
      <c r="Z40" s="83"/>
    </row>
    <row r="41">
      <c r="T41" s="83"/>
      <c r="U41" s="83"/>
      <c r="V41" s="83"/>
      <c r="W41" s="83"/>
      <c r="X41" s="83"/>
      <c r="Y41" s="83"/>
      <c r="Z41" s="83"/>
    </row>
    <row r="42">
      <c r="T42" s="83"/>
      <c r="U42" s="83"/>
      <c r="V42" s="83"/>
      <c r="W42" s="83"/>
      <c r="X42" s="83"/>
      <c r="Y42" s="83"/>
      <c r="Z42" s="83"/>
    </row>
    <row r="43">
      <c r="T43" s="83"/>
      <c r="U43" s="83"/>
      <c r="V43" s="83"/>
      <c r="W43" s="83"/>
      <c r="X43" s="83"/>
      <c r="Y43" s="83"/>
      <c r="Z43" s="83"/>
    </row>
    <row r="44">
      <c r="T44" s="83"/>
      <c r="U44" s="83"/>
      <c r="V44" s="83"/>
      <c r="W44" s="83"/>
      <c r="X44" s="83"/>
      <c r="Y44" s="83"/>
      <c r="Z44" s="83"/>
    </row>
    <row r="45">
      <c r="T45" s="83"/>
      <c r="U45" s="83"/>
      <c r="V45" s="83"/>
      <c r="W45" s="83"/>
      <c r="X45" s="83"/>
      <c r="Y45" s="83"/>
      <c r="Z45" s="83"/>
    </row>
    <row r="46">
      <c r="T46" s="83"/>
      <c r="U46" s="83"/>
      <c r="V46" s="83"/>
      <c r="W46" s="83"/>
      <c r="X46" s="83"/>
      <c r="Y46" s="83"/>
      <c r="Z46" s="83"/>
    </row>
    <row r="47">
      <c r="T47" s="83"/>
      <c r="U47" s="83"/>
      <c r="V47" s="83"/>
      <c r="W47" s="83"/>
      <c r="X47" s="83"/>
      <c r="Y47" s="83"/>
      <c r="Z47" s="83"/>
    </row>
    <row r="48">
      <c r="T48" s="83"/>
      <c r="U48" s="83"/>
      <c r="V48" s="83"/>
      <c r="W48" s="83"/>
      <c r="X48" s="83"/>
      <c r="Y48" s="83"/>
      <c r="Z48" s="83"/>
    </row>
    <row r="49">
      <c r="T49" s="83"/>
      <c r="U49" s="83"/>
      <c r="V49" s="83"/>
      <c r="W49" s="83"/>
      <c r="X49" s="83"/>
      <c r="Y49" s="83"/>
      <c r="Z49" s="83"/>
    </row>
    <row r="50">
      <c r="T50" s="83"/>
      <c r="U50" s="83"/>
      <c r="V50" s="83"/>
      <c r="W50" s="83"/>
      <c r="X50" s="83"/>
      <c r="Y50" s="83"/>
      <c r="Z50" s="83"/>
    </row>
    <row r="51">
      <c r="T51" s="83"/>
      <c r="U51" s="83"/>
      <c r="V51" s="83"/>
      <c r="W51" s="83"/>
      <c r="X51" s="83"/>
      <c r="Y51" s="83"/>
      <c r="Z51" s="83"/>
    </row>
    <row r="52">
      <c r="T52" s="83"/>
      <c r="U52" s="83"/>
      <c r="V52" s="83"/>
      <c r="W52" s="83"/>
      <c r="X52" s="83"/>
      <c r="Y52" s="83"/>
      <c r="Z52" s="83"/>
    </row>
    <row r="53">
      <c r="T53" s="83"/>
      <c r="U53" s="83"/>
      <c r="V53" s="83"/>
      <c r="W53" s="83"/>
      <c r="X53" s="83"/>
      <c r="Y53" s="83"/>
      <c r="Z53" s="83"/>
    </row>
    <row r="54">
      <c r="T54" s="83"/>
      <c r="U54" s="83"/>
      <c r="V54" s="83"/>
      <c r="W54" s="83"/>
      <c r="X54" s="83"/>
      <c r="Y54" s="83"/>
      <c r="Z54" s="83"/>
    </row>
    <row r="55">
      <c r="T55" s="83"/>
      <c r="U55" s="83"/>
      <c r="V55" s="83"/>
      <c r="W55" s="83"/>
      <c r="X55" s="83"/>
      <c r="Y55" s="83"/>
      <c r="Z55" s="83"/>
    </row>
    <row r="56">
      <c r="T56" s="83"/>
      <c r="U56" s="83"/>
      <c r="V56" s="83"/>
      <c r="W56" s="83"/>
      <c r="X56" s="83"/>
      <c r="Y56" s="83"/>
      <c r="Z56" s="83"/>
    </row>
    <row r="57">
      <c r="T57" s="83"/>
      <c r="U57" s="83"/>
      <c r="V57" s="83"/>
      <c r="W57" s="83"/>
      <c r="X57" s="83"/>
      <c r="Y57" s="83"/>
      <c r="Z57" s="83"/>
    </row>
    <row r="58">
      <c r="T58" s="83"/>
      <c r="U58" s="83"/>
      <c r="V58" s="83"/>
      <c r="W58" s="83"/>
      <c r="X58" s="83"/>
      <c r="Y58" s="83"/>
      <c r="Z58" s="83"/>
    </row>
    <row r="59">
      <c r="T59" s="83"/>
      <c r="U59" s="83"/>
      <c r="V59" s="83"/>
      <c r="W59" s="83"/>
      <c r="X59" s="83"/>
      <c r="Y59" s="83"/>
      <c r="Z59" s="83"/>
    </row>
    <row r="60">
      <c r="T60" s="83"/>
      <c r="U60" s="83"/>
      <c r="V60" s="83"/>
      <c r="W60" s="83"/>
      <c r="X60" s="83"/>
      <c r="Y60" s="83"/>
      <c r="Z60" s="83"/>
    </row>
    <row r="61">
      <c r="T61" s="83"/>
      <c r="U61" s="83"/>
      <c r="V61" s="83"/>
      <c r="W61" s="83"/>
      <c r="X61" s="83"/>
      <c r="Y61" s="83"/>
      <c r="Z61" s="83"/>
    </row>
    <row r="62">
      <c r="T62" s="83"/>
      <c r="U62" s="83"/>
      <c r="V62" s="83"/>
      <c r="W62" s="83"/>
      <c r="X62" s="83"/>
      <c r="Y62" s="83"/>
      <c r="Z62" s="83"/>
    </row>
    <row r="63">
      <c r="T63" s="83"/>
      <c r="U63" s="83"/>
      <c r="V63" s="83"/>
      <c r="W63" s="83"/>
      <c r="X63" s="83"/>
      <c r="Y63" s="83"/>
      <c r="Z63" s="83"/>
    </row>
    <row r="64">
      <c r="T64" s="83"/>
      <c r="U64" s="83"/>
      <c r="V64" s="83"/>
      <c r="W64" s="83"/>
      <c r="X64" s="83"/>
      <c r="Y64" s="83"/>
      <c r="Z64" s="83"/>
    </row>
    <row r="65">
      <c r="T65" s="83"/>
      <c r="U65" s="83"/>
      <c r="V65" s="83"/>
      <c r="W65" s="83"/>
      <c r="X65" s="83"/>
      <c r="Y65" s="83"/>
      <c r="Z65" s="83"/>
    </row>
    <row r="66">
      <c r="T66" s="83"/>
      <c r="U66" s="83"/>
      <c r="V66" s="83"/>
      <c r="W66" s="83"/>
      <c r="X66" s="83"/>
      <c r="Y66" s="83"/>
      <c r="Z66" s="83"/>
    </row>
    <row r="67">
      <c r="T67" s="83"/>
      <c r="U67" s="83"/>
      <c r="V67" s="83"/>
      <c r="W67" s="83"/>
      <c r="X67" s="83"/>
      <c r="Y67" s="83"/>
      <c r="Z67" s="83"/>
    </row>
    <row r="68">
      <c r="T68" s="83"/>
      <c r="U68" s="83"/>
      <c r="V68" s="83"/>
      <c r="W68" s="83"/>
      <c r="X68" s="83"/>
      <c r="Y68" s="83"/>
      <c r="Z68" s="83"/>
    </row>
    <row r="69">
      <c r="T69" s="83"/>
      <c r="U69" s="83"/>
      <c r="V69" s="83"/>
      <c r="W69" s="83"/>
      <c r="X69" s="83"/>
      <c r="Y69" s="83"/>
      <c r="Z69" s="83"/>
    </row>
    <row r="70">
      <c r="T70" s="83"/>
      <c r="U70" s="83"/>
      <c r="V70" s="83"/>
      <c r="W70" s="83"/>
      <c r="X70" s="83"/>
      <c r="Y70" s="83"/>
      <c r="Z70" s="83"/>
    </row>
    <row r="71">
      <c r="T71" s="83"/>
      <c r="U71" s="83"/>
      <c r="V71" s="83"/>
      <c r="W71" s="83"/>
      <c r="X71" s="83"/>
      <c r="Y71" s="83"/>
      <c r="Z71" s="83"/>
    </row>
    <row r="72">
      <c r="T72" s="83"/>
      <c r="U72" s="83"/>
      <c r="V72" s="83"/>
      <c r="W72" s="83"/>
      <c r="X72" s="83"/>
      <c r="Y72" s="83"/>
      <c r="Z72" s="83"/>
    </row>
    <row r="73">
      <c r="T73" s="83"/>
      <c r="U73" s="83"/>
      <c r="V73" s="83"/>
      <c r="W73" s="83"/>
      <c r="X73" s="83"/>
      <c r="Y73" s="83"/>
      <c r="Z73" s="83"/>
    </row>
    <row r="74">
      <c r="T74" s="83"/>
      <c r="U74" s="83"/>
      <c r="V74" s="83"/>
      <c r="W74" s="83"/>
      <c r="X74" s="83"/>
      <c r="Y74" s="83"/>
      <c r="Z74" s="83"/>
    </row>
    <row r="75">
      <c r="T75" s="83"/>
      <c r="U75" s="83"/>
      <c r="V75" s="83"/>
      <c r="W75" s="83"/>
      <c r="X75" s="83"/>
      <c r="Y75" s="83"/>
      <c r="Z75" s="83"/>
    </row>
    <row r="76">
      <c r="T76" s="83"/>
      <c r="U76" s="83"/>
      <c r="V76" s="83"/>
      <c r="W76" s="83"/>
      <c r="X76" s="83"/>
      <c r="Y76" s="83"/>
      <c r="Z76" s="83"/>
    </row>
    <row r="77">
      <c r="T77" s="83"/>
      <c r="U77" s="83"/>
      <c r="V77" s="83"/>
      <c r="W77" s="83"/>
      <c r="X77" s="83"/>
      <c r="Y77" s="83"/>
      <c r="Z77" s="83"/>
    </row>
    <row r="78">
      <c r="T78" s="83"/>
      <c r="U78" s="83"/>
      <c r="V78" s="83"/>
      <c r="W78" s="83"/>
      <c r="X78" s="83"/>
      <c r="Y78" s="83"/>
      <c r="Z78" s="83"/>
    </row>
    <row r="79">
      <c r="T79" s="83"/>
      <c r="U79" s="83"/>
      <c r="V79" s="83"/>
      <c r="W79" s="83"/>
      <c r="X79" s="83"/>
      <c r="Y79" s="83"/>
      <c r="Z79" s="83"/>
    </row>
    <row r="80">
      <c r="T80" s="83"/>
      <c r="U80" s="83"/>
      <c r="V80" s="83"/>
      <c r="W80" s="83"/>
      <c r="X80" s="83"/>
      <c r="Y80" s="83"/>
      <c r="Z80" s="83"/>
    </row>
    <row r="81">
      <c r="T81" s="83"/>
      <c r="U81" s="83"/>
      <c r="V81" s="83"/>
      <c r="W81" s="83"/>
      <c r="X81" s="83"/>
      <c r="Y81" s="83"/>
      <c r="Z81" s="83"/>
    </row>
    <row r="82">
      <c r="T82" s="83"/>
      <c r="U82" s="83"/>
      <c r="V82" s="83"/>
      <c r="W82" s="83"/>
      <c r="X82" s="83"/>
      <c r="Y82" s="83"/>
      <c r="Z82" s="83"/>
    </row>
    <row r="83">
      <c r="T83" s="83"/>
      <c r="U83" s="83"/>
      <c r="V83" s="83"/>
      <c r="W83" s="83"/>
      <c r="X83" s="83"/>
      <c r="Y83" s="83"/>
      <c r="Z83" s="83"/>
    </row>
    <row r="84">
      <c r="T84" s="83"/>
      <c r="U84" s="83"/>
      <c r="V84" s="83"/>
      <c r="W84" s="83"/>
      <c r="X84" s="83"/>
      <c r="Y84" s="83"/>
      <c r="Z84" s="83"/>
    </row>
    <row r="85">
      <c r="T85" s="83"/>
      <c r="U85" s="83"/>
      <c r="V85" s="83"/>
      <c r="W85" s="83"/>
      <c r="X85" s="83"/>
      <c r="Y85" s="83"/>
      <c r="Z85" s="83"/>
    </row>
    <row r="86">
      <c r="T86" s="83"/>
      <c r="U86" s="83"/>
      <c r="V86" s="83"/>
      <c r="W86" s="83"/>
      <c r="X86" s="83"/>
      <c r="Y86" s="83"/>
      <c r="Z86" s="83"/>
    </row>
    <row r="87">
      <c r="T87" s="83"/>
      <c r="U87" s="83"/>
      <c r="V87" s="83"/>
      <c r="W87" s="83"/>
      <c r="X87" s="83"/>
      <c r="Y87" s="83"/>
      <c r="Z87" s="83"/>
    </row>
    <row r="88">
      <c r="T88" s="83"/>
      <c r="U88" s="83"/>
      <c r="V88" s="83"/>
      <c r="W88" s="83"/>
      <c r="X88" s="83"/>
      <c r="Y88" s="83"/>
      <c r="Z88" s="83"/>
    </row>
    <row r="89">
      <c r="T89" s="83"/>
      <c r="U89" s="83"/>
      <c r="V89" s="83"/>
      <c r="W89" s="83"/>
      <c r="X89" s="83"/>
      <c r="Y89" s="83"/>
      <c r="Z89" s="83"/>
    </row>
    <row r="90">
      <c r="T90" s="83"/>
      <c r="U90" s="83"/>
      <c r="V90" s="83"/>
      <c r="W90" s="83"/>
      <c r="X90" s="83"/>
      <c r="Y90" s="83"/>
      <c r="Z90" s="83"/>
    </row>
    <row r="91">
      <c r="T91" s="83"/>
      <c r="U91" s="83"/>
      <c r="V91" s="83"/>
      <c r="W91" s="83"/>
      <c r="X91" s="83"/>
      <c r="Y91" s="83"/>
      <c r="Z91" s="83"/>
    </row>
    <row r="92">
      <c r="T92" s="83"/>
      <c r="U92" s="83"/>
      <c r="V92" s="83"/>
      <c r="W92" s="83"/>
      <c r="X92" s="83"/>
      <c r="Y92" s="83"/>
      <c r="Z92" s="83"/>
    </row>
    <row r="93">
      <c r="T93" s="83"/>
      <c r="U93" s="83"/>
      <c r="V93" s="83"/>
      <c r="W93" s="83"/>
      <c r="X93" s="83"/>
      <c r="Y93" s="83"/>
      <c r="Z93" s="83"/>
    </row>
    <row r="94">
      <c r="T94" s="83"/>
      <c r="U94" s="83"/>
      <c r="V94" s="83"/>
      <c r="W94" s="83"/>
      <c r="X94" s="83"/>
      <c r="Y94" s="83"/>
      <c r="Z94" s="83"/>
    </row>
    <row r="95">
      <c r="T95" s="83"/>
      <c r="U95" s="83"/>
      <c r="V95" s="83"/>
      <c r="W95" s="83"/>
      <c r="X95" s="83"/>
      <c r="Y95" s="83"/>
      <c r="Z95" s="83"/>
    </row>
    <row r="96">
      <c r="T96" s="83"/>
      <c r="U96" s="83"/>
      <c r="V96" s="83"/>
      <c r="W96" s="83"/>
      <c r="X96" s="83"/>
      <c r="Y96" s="83"/>
      <c r="Z96" s="83"/>
    </row>
    <row r="97">
      <c r="T97" s="83"/>
      <c r="U97" s="83"/>
      <c r="V97" s="83"/>
      <c r="W97" s="83"/>
      <c r="X97" s="83"/>
      <c r="Y97" s="83"/>
      <c r="Z97" s="83"/>
    </row>
    <row r="98">
      <c r="T98" s="83"/>
      <c r="U98" s="83"/>
      <c r="V98" s="83"/>
      <c r="W98" s="83"/>
      <c r="X98" s="83"/>
      <c r="Y98" s="83"/>
      <c r="Z98" s="83"/>
    </row>
    <row r="99">
      <c r="T99" s="83"/>
      <c r="U99" s="83"/>
      <c r="V99" s="83"/>
      <c r="W99" s="83"/>
      <c r="X99" s="83"/>
      <c r="Y99" s="83"/>
      <c r="Z99" s="83"/>
    </row>
    <row r="100">
      <c r="T100" s="83"/>
      <c r="U100" s="83"/>
      <c r="V100" s="83"/>
      <c r="W100" s="83"/>
      <c r="X100" s="83"/>
      <c r="Y100" s="83"/>
      <c r="Z100" s="83"/>
    </row>
    <row r="101">
      <c r="T101" s="83"/>
      <c r="U101" s="83"/>
      <c r="V101" s="83"/>
      <c r="W101" s="83"/>
      <c r="X101" s="83"/>
      <c r="Y101" s="83"/>
      <c r="Z101" s="83"/>
    </row>
    <row r="102">
      <c r="T102" s="83"/>
      <c r="U102" s="83"/>
      <c r="V102" s="83"/>
      <c r="W102" s="83"/>
      <c r="X102" s="83"/>
      <c r="Y102" s="83"/>
      <c r="Z102" s="83"/>
    </row>
    <row r="103">
      <c r="T103" s="83"/>
      <c r="U103" s="83"/>
      <c r="V103" s="83"/>
      <c r="W103" s="83"/>
      <c r="X103" s="83"/>
      <c r="Y103" s="83"/>
      <c r="Z103" s="83"/>
    </row>
    <row r="104">
      <c r="T104" s="83"/>
      <c r="U104" s="83"/>
      <c r="V104" s="83"/>
      <c r="W104" s="83"/>
      <c r="X104" s="83"/>
      <c r="Y104" s="83"/>
      <c r="Z104" s="83"/>
    </row>
    <row r="105">
      <c r="T105" s="83"/>
      <c r="U105" s="83"/>
      <c r="V105" s="83"/>
      <c r="W105" s="83"/>
      <c r="X105" s="83"/>
      <c r="Y105" s="83"/>
      <c r="Z105" s="83"/>
    </row>
    <row r="106">
      <c r="T106" s="83"/>
      <c r="U106" s="83"/>
      <c r="V106" s="83"/>
      <c r="W106" s="83"/>
      <c r="X106" s="83"/>
      <c r="Y106" s="83"/>
      <c r="Z106" s="83"/>
    </row>
    <row r="107">
      <c r="T107" s="83"/>
      <c r="U107" s="83"/>
      <c r="V107" s="83"/>
      <c r="W107" s="83"/>
      <c r="X107" s="83"/>
      <c r="Y107" s="83"/>
      <c r="Z107" s="83"/>
    </row>
    <row r="108">
      <c r="T108" s="83"/>
      <c r="U108" s="83"/>
      <c r="V108" s="83"/>
      <c r="W108" s="83"/>
      <c r="X108" s="83"/>
      <c r="Y108" s="83"/>
      <c r="Z108" s="83"/>
    </row>
    <row r="109">
      <c r="T109" s="83"/>
      <c r="U109" s="83"/>
      <c r="V109" s="83"/>
      <c r="W109" s="83"/>
      <c r="X109" s="83"/>
      <c r="Y109" s="83"/>
      <c r="Z109" s="83"/>
    </row>
    <row r="110">
      <c r="T110" s="83"/>
      <c r="U110" s="83"/>
      <c r="V110" s="83"/>
      <c r="W110" s="83"/>
      <c r="X110" s="83"/>
      <c r="Y110" s="83"/>
      <c r="Z110" s="83"/>
    </row>
    <row r="111">
      <c r="T111" s="83"/>
      <c r="U111" s="83"/>
      <c r="V111" s="83"/>
      <c r="W111" s="83"/>
      <c r="X111" s="83"/>
      <c r="Y111" s="83"/>
      <c r="Z111" s="83"/>
    </row>
    <row r="112">
      <c r="T112" s="83"/>
      <c r="U112" s="83"/>
      <c r="V112" s="83"/>
      <c r="W112" s="83"/>
      <c r="X112" s="83"/>
      <c r="Y112" s="83"/>
      <c r="Z112" s="83"/>
    </row>
    <row r="113">
      <c r="T113" s="83"/>
      <c r="U113" s="83"/>
      <c r="V113" s="83"/>
      <c r="W113" s="83"/>
      <c r="X113" s="83"/>
      <c r="Y113" s="83"/>
      <c r="Z113" s="83"/>
    </row>
    <row r="114">
      <c r="T114" s="83"/>
      <c r="U114" s="83"/>
      <c r="V114" s="83"/>
      <c r="W114" s="83"/>
      <c r="X114" s="83"/>
      <c r="Y114" s="83"/>
      <c r="Z114" s="83"/>
    </row>
    <row r="115">
      <c r="T115" s="83"/>
      <c r="U115" s="83"/>
      <c r="V115" s="83"/>
      <c r="W115" s="83"/>
      <c r="X115" s="83"/>
      <c r="Y115" s="83"/>
      <c r="Z115" s="83"/>
    </row>
    <row r="116">
      <c r="T116" s="83"/>
      <c r="U116" s="83"/>
      <c r="V116" s="83"/>
      <c r="W116" s="83"/>
      <c r="X116" s="83"/>
      <c r="Y116" s="83"/>
      <c r="Z116" s="83"/>
    </row>
    <row r="117">
      <c r="T117" s="83"/>
      <c r="U117" s="83"/>
      <c r="V117" s="83"/>
      <c r="W117" s="83"/>
      <c r="X117" s="83"/>
      <c r="Y117" s="83"/>
      <c r="Z117" s="83"/>
    </row>
    <row r="118">
      <c r="T118" s="83"/>
      <c r="U118" s="83"/>
      <c r="V118" s="83"/>
      <c r="W118" s="83"/>
      <c r="X118" s="83"/>
      <c r="Y118" s="83"/>
      <c r="Z118" s="83"/>
    </row>
    <row r="119">
      <c r="T119" s="83"/>
      <c r="U119" s="83"/>
      <c r="V119" s="83"/>
      <c r="W119" s="83"/>
      <c r="X119" s="83"/>
      <c r="Y119" s="83"/>
      <c r="Z119" s="83"/>
    </row>
    <row r="120">
      <c r="T120" s="83"/>
      <c r="U120" s="83"/>
      <c r="V120" s="83"/>
      <c r="W120" s="83"/>
      <c r="X120" s="83"/>
      <c r="Y120" s="83"/>
      <c r="Z120" s="83"/>
    </row>
    <row r="121">
      <c r="T121" s="83"/>
      <c r="U121" s="83"/>
      <c r="V121" s="83"/>
      <c r="W121" s="83"/>
      <c r="X121" s="83"/>
      <c r="Y121" s="83"/>
      <c r="Z121" s="83"/>
    </row>
    <row r="122">
      <c r="T122" s="83"/>
      <c r="U122" s="83"/>
      <c r="V122" s="83"/>
      <c r="W122" s="83"/>
      <c r="X122" s="83"/>
      <c r="Y122" s="83"/>
      <c r="Z122" s="83"/>
    </row>
    <row r="123">
      <c r="T123" s="83"/>
      <c r="U123" s="83"/>
      <c r="V123" s="83"/>
      <c r="W123" s="83"/>
      <c r="X123" s="83"/>
      <c r="Y123" s="83"/>
      <c r="Z123" s="83"/>
    </row>
    <row r="124">
      <c r="T124" s="83"/>
      <c r="U124" s="83"/>
      <c r="V124" s="83"/>
      <c r="W124" s="83"/>
      <c r="X124" s="83"/>
      <c r="Y124" s="83"/>
      <c r="Z124" s="83"/>
    </row>
    <row r="125">
      <c r="T125" s="83"/>
      <c r="U125" s="83"/>
      <c r="V125" s="83"/>
      <c r="W125" s="83"/>
      <c r="X125" s="83"/>
      <c r="Y125" s="83"/>
      <c r="Z125" s="83"/>
    </row>
    <row r="126">
      <c r="T126" s="83"/>
      <c r="U126" s="83"/>
      <c r="V126" s="83"/>
      <c r="W126" s="83"/>
      <c r="X126" s="83"/>
      <c r="Y126" s="83"/>
      <c r="Z126" s="83"/>
    </row>
    <row r="127">
      <c r="T127" s="83"/>
      <c r="U127" s="83"/>
      <c r="V127" s="83"/>
      <c r="W127" s="83"/>
      <c r="X127" s="83"/>
      <c r="Y127" s="83"/>
      <c r="Z127" s="83"/>
    </row>
    <row r="128">
      <c r="T128" s="83"/>
      <c r="U128" s="83"/>
      <c r="V128" s="83"/>
      <c r="W128" s="83"/>
      <c r="X128" s="83"/>
      <c r="Y128" s="83"/>
      <c r="Z128" s="83"/>
    </row>
    <row r="129">
      <c r="T129" s="83"/>
      <c r="U129" s="83"/>
      <c r="V129" s="83"/>
      <c r="W129" s="83"/>
      <c r="X129" s="83"/>
      <c r="Y129" s="83"/>
      <c r="Z129" s="83"/>
    </row>
    <row r="130">
      <c r="T130" s="83"/>
      <c r="U130" s="83"/>
      <c r="V130" s="83"/>
      <c r="W130" s="83"/>
      <c r="X130" s="83"/>
      <c r="Y130" s="83"/>
      <c r="Z130" s="83"/>
    </row>
    <row r="131">
      <c r="T131" s="83"/>
      <c r="U131" s="83"/>
      <c r="V131" s="83"/>
      <c r="W131" s="83"/>
      <c r="X131" s="83"/>
      <c r="Y131" s="83"/>
      <c r="Z131" s="83"/>
    </row>
    <row r="132">
      <c r="T132" s="83"/>
      <c r="U132" s="83"/>
      <c r="V132" s="83"/>
      <c r="W132" s="83"/>
      <c r="X132" s="83"/>
      <c r="Y132" s="83"/>
      <c r="Z132" s="83"/>
    </row>
    <row r="133">
      <c r="T133" s="83"/>
      <c r="U133" s="83"/>
      <c r="V133" s="83"/>
      <c r="W133" s="83"/>
      <c r="X133" s="83"/>
      <c r="Y133" s="83"/>
      <c r="Z133" s="83"/>
    </row>
    <row r="134">
      <c r="T134" s="83"/>
      <c r="U134" s="83"/>
      <c r="V134" s="83"/>
      <c r="W134" s="83"/>
      <c r="X134" s="83"/>
      <c r="Y134" s="83"/>
      <c r="Z134" s="83"/>
    </row>
    <row r="135">
      <c r="T135" s="83"/>
      <c r="U135" s="83"/>
      <c r="V135" s="83"/>
      <c r="W135" s="83"/>
      <c r="X135" s="83"/>
      <c r="Y135" s="83"/>
      <c r="Z135" s="83"/>
    </row>
    <row r="136">
      <c r="T136" s="83"/>
      <c r="U136" s="83"/>
      <c r="V136" s="83"/>
      <c r="W136" s="83"/>
      <c r="X136" s="83"/>
      <c r="Y136" s="83"/>
      <c r="Z136" s="83"/>
    </row>
    <row r="137">
      <c r="T137" s="83"/>
      <c r="U137" s="83"/>
      <c r="V137" s="83"/>
      <c r="W137" s="83"/>
      <c r="X137" s="83"/>
      <c r="Y137" s="83"/>
      <c r="Z137" s="83"/>
    </row>
    <row r="138">
      <c r="T138" s="83"/>
      <c r="U138" s="83"/>
      <c r="V138" s="83"/>
      <c r="W138" s="83"/>
      <c r="X138" s="83"/>
      <c r="Y138" s="83"/>
      <c r="Z138" s="83"/>
    </row>
    <row r="139">
      <c r="T139" s="83"/>
      <c r="U139" s="83"/>
      <c r="V139" s="83"/>
      <c r="W139" s="83"/>
      <c r="X139" s="83"/>
      <c r="Y139" s="83"/>
      <c r="Z139" s="83"/>
    </row>
    <row r="140">
      <c r="T140" s="83"/>
      <c r="U140" s="83"/>
      <c r="V140" s="83"/>
      <c r="W140" s="83"/>
      <c r="X140" s="83"/>
      <c r="Y140" s="83"/>
      <c r="Z140" s="83"/>
    </row>
    <row r="141">
      <c r="T141" s="83"/>
      <c r="U141" s="83"/>
      <c r="V141" s="83"/>
      <c r="W141" s="83"/>
      <c r="X141" s="83"/>
      <c r="Y141" s="83"/>
      <c r="Z141" s="83"/>
    </row>
    <row r="142">
      <c r="T142" s="83"/>
      <c r="U142" s="83"/>
      <c r="V142" s="83"/>
      <c r="W142" s="83"/>
      <c r="X142" s="83"/>
      <c r="Y142" s="83"/>
      <c r="Z142" s="83"/>
    </row>
    <row r="143">
      <c r="T143" s="83"/>
      <c r="U143" s="83"/>
      <c r="V143" s="83"/>
      <c r="W143" s="83"/>
      <c r="X143" s="83"/>
      <c r="Y143" s="83"/>
      <c r="Z143" s="83"/>
    </row>
    <row r="144">
      <c r="T144" s="83"/>
      <c r="U144" s="83"/>
      <c r="V144" s="83"/>
      <c r="W144" s="83"/>
      <c r="X144" s="83"/>
      <c r="Y144" s="83"/>
      <c r="Z144" s="83"/>
    </row>
    <row r="145">
      <c r="T145" s="83"/>
      <c r="U145" s="83"/>
      <c r="V145" s="83"/>
      <c r="W145" s="83"/>
      <c r="X145" s="83"/>
      <c r="Y145" s="83"/>
      <c r="Z145" s="83"/>
    </row>
    <row r="146">
      <c r="T146" s="83"/>
      <c r="U146" s="83"/>
      <c r="V146" s="83"/>
      <c r="W146" s="83"/>
      <c r="X146" s="83"/>
      <c r="Y146" s="83"/>
      <c r="Z146" s="83"/>
    </row>
    <row r="147">
      <c r="T147" s="83"/>
      <c r="U147" s="83"/>
      <c r="V147" s="83"/>
      <c r="W147" s="83"/>
      <c r="X147" s="83"/>
      <c r="Y147" s="83"/>
      <c r="Z147" s="83"/>
    </row>
    <row r="148">
      <c r="T148" s="83"/>
      <c r="U148" s="83"/>
      <c r="V148" s="83"/>
      <c r="W148" s="83"/>
      <c r="X148" s="83"/>
      <c r="Y148" s="83"/>
      <c r="Z148" s="83"/>
    </row>
    <row r="149">
      <c r="T149" s="83"/>
      <c r="U149" s="83"/>
      <c r="V149" s="83"/>
      <c r="W149" s="83"/>
      <c r="X149" s="83"/>
      <c r="Y149" s="83"/>
      <c r="Z149" s="83"/>
    </row>
    <row r="150">
      <c r="T150" s="83"/>
      <c r="U150" s="83"/>
      <c r="V150" s="83"/>
      <c r="W150" s="83"/>
      <c r="X150" s="83"/>
      <c r="Y150" s="83"/>
      <c r="Z150" s="83"/>
    </row>
    <row r="151">
      <c r="T151" s="83"/>
      <c r="U151" s="83"/>
      <c r="V151" s="83"/>
      <c r="W151" s="83"/>
      <c r="X151" s="83"/>
      <c r="Y151" s="83"/>
      <c r="Z151" s="83"/>
    </row>
    <row r="152">
      <c r="T152" s="83"/>
      <c r="U152" s="83"/>
      <c r="V152" s="83"/>
      <c r="W152" s="83"/>
      <c r="X152" s="83"/>
      <c r="Y152" s="83"/>
      <c r="Z152" s="83"/>
    </row>
    <row r="153">
      <c r="T153" s="83"/>
      <c r="U153" s="83"/>
      <c r="V153" s="83"/>
      <c r="W153" s="83"/>
      <c r="X153" s="83"/>
      <c r="Y153" s="83"/>
      <c r="Z153" s="83"/>
    </row>
    <row r="154">
      <c r="T154" s="83"/>
      <c r="U154" s="83"/>
      <c r="V154" s="83"/>
      <c r="W154" s="83"/>
      <c r="X154" s="83"/>
      <c r="Y154" s="83"/>
      <c r="Z154" s="83"/>
    </row>
    <row r="155">
      <c r="T155" s="83"/>
      <c r="U155" s="83"/>
      <c r="V155" s="83"/>
      <c r="W155" s="83"/>
      <c r="X155" s="83"/>
      <c r="Y155" s="83"/>
      <c r="Z155" s="83"/>
    </row>
    <row r="156">
      <c r="T156" s="83"/>
      <c r="U156" s="83"/>
      <c r="V156" s="83"/>
      <c r="W156" s="83"/>
      <c r="X156" s="83"/>
      <c r="Y156" s="83"/>
      <c r="Z156" s="83"/>
    </row>
    <row r="157">
      <c r="T157" s="83"/>
      <c r="U157" s="83"/>
      <c r="V157" s="83"/>
      <c r="W157" s="83"/>
      <c r="X157" s="83"/>
      <c r="Y157" s="83"/>
      <c r="Z157" s="83"/>
    </row>
    <row r="158">
      <c r="T158" s="83"/>
      <c r="U158" s="83"/>
      <c r="V158" s="83"/>
      <c r="W158" s="83"/>
      <c r="X158" s="83"/>
      <c r="Y158" s="83"/>
      <c r="Z158" s="83"/>
    </row>
    <row r="159">
      <c r="T159" s="83"/>
      <c r="U159" s="83"/>
      <c r="V159" s="83"/>
      <c r="W159" s="83"/>
      <c r="X159" s="83"/>
      <c r="Y159" s="83"/>
      <c r="Z159" s="83"/>
    </row>
    <row r="160">
      <c r="T160" s="83"/>
      <c r="U160" s="83"/>
      <c r="V160" s="83"/>
      <c r="W160" s="83"/>
      <c r="X160" s="83"/>
      <c r="Y160" s="83"/>
      <c r="Z160" s="83"/>
    </row>
    <row r="161">
      <c r="T161" s="83"/>
      <c r="U161" s="83"/>
      <c r="V161" s="83"/>
      <c r="W161" s="83"/>
      <c r="X161" s="83"/>
      <c r="Y161" s="83"/>
      <c r="Z161" s="83"/>
    </row>
    <row r="162">
      <c r="T162" s="83"/>
      <c r="U162" s="83"/>
      <c r="V162" s="83"/>
      <c r="W162" s="83"/>
      <c r="X162" s="83"/>
      <c r="Y162" s="83"/>
      <c r="Z162" s="83"/>
    </row>
    <row r="163">
      <c r="T163" s="83"/>
      <c r="U163" s="83"/>
      <c r="V163" s="83"/>
      <c r="W163" s="83"/>
      <c r="X163" s="83"/>
      <c r="Y163" s="83"/>
      <c r="Z163" s="83"/>
    </row>
    <row r="164">
      <c r="T164" s="83"/>
      <c r="U164" s="83"/>
      <c r="V164" s="83"/>
      <c r="W164" s="83"/>
      <c r="X164" s="83"/>
      <c r="Y164" s="83"/>
      <c r="Z164" s="83"/>
    </row>
    <row r="165">
      <c r="T165" s="83"/>
      <c r="U165" s="83"/>
      <c r="V165" s="83"/>
      <c r="W165" s="83"/>
      <c r="X165" s="83"/>
      <c r="Y165" s="83"/>
      <c r="Z165" s="83"/>
    </row>
    <row r="166">
      <c r="T166" s="83"/>
      <c r="U166" s="83"/>
      <c r="V166" s="83"/>
      <c r="W166" s="83"/>
      <c r="X166" s="83"/>
      <c r="Y166" s="83"/>
      <c r="Z166" s="83"/>
    </row>
    <row r="167">
      <c r="T167" s="83"/>
      <c r="U167" s="83"/>
      <c r="V167" s="83"/>
      <c r="W167" s="83"/>
      <c r="X167" s="83"/>
      <c r="Y167" s="83"/>
      <c r="Z167" s="83"/>
    </row>
    <row r="168">
      <c r="T168" s="83"/>
      <c r="U168" s="83"/>
      <c r="V168" s="83"/>
      <c r="W168" s="83"/>
      <c r="X168" s="83"/>
      <c r="Y168" s="83"/>
      <c r="Z168" s="83"/>
    </row>
    <row r="169">
      <c r="T169" s="83"/>
      <c r="U169" s="83"/>
      <c r="V169" s="83"/>
      <c r="W169" s="83"/>
      <c r="X169" s="83"/>
      <c r="Y169" s="83"/>
      <c r="Z169" s="83"/>
    </row>
    <row r="170">
      <c r="T170" s="83"/>
      <c r="U170" s="83"/>
      <c r="V170" s="83"/>
      <c r="W170" s="83"/>
      <c r="X170" s="83"/>
      <c r="Y170" s="83"/>
      <c r="Z170" s="83"/>
    </row>
    <row r="171">
      <c r="T171" s="83"/>
      <c r="U171" s="83"/>
      <c r="V171" s="83"/>
      <c r="W171" s="83"/>
      <c r="X171" s="83"/>
      <c r="Y171" s="83"/>
      <c r="Z171" s="83"/>
    </row>
    <row r="172">
      <c r="T172" s="83"/>
      <c r="U172" s="83"/>
      <c r="V172" s="83"/>
      <c r="W172" s="83"/>
      <c r="X172" s="83"/>
      <c r="Y172" s="83"/>
      <c r="Z172" s="83"/>
    </row>
    <row r="173">
      <c r="T173" s="83"/>
      <c r="U173" s="83"/>
      <c r="V173" s="83"/>
      <c r="W173" s="83"/>
      <c r="X173" s="83"/>
      <c r="Y173" s="83"/>
      <c r="Z173" s="83"/>
    </row>
    <row r="174">
      <c r="T174" s="83"/>
      <c r="U174" s="83"/>
      <c r="V174" s="83"/>
      <c r="W174" s="83"/>
      <c r="X174" s="83"/>
      <c r="Y174" s="83"/>
      <c r="Z174" s="83"/>
    </row>
    <row r="175">
      <c r="T175" s="83"/>
      <c r="U175" s="83"/>
      <c r="V175" s="83"/>
      <c r="W175" s="83"/>
      <c r="X175" s="83"/>
      <c r="Y175" s="83"/>
      <c r="Z175" s="83"/>
    </row>
    <row r="176">
      <c r="T176" s="83"/>
      <c r="U176" s="83"/>
      <c r="V176" s="83"/>
      <c r="W176" s="83"/>
      <c r="X176" s="83"/>
      <c r="Y176" s="83"/>
      <c r="Z176" s="83"/>
    </row>
    <row r="177">
      <c r="T177" s="83"/>
      <c r="U177" s="83"/>
      <c r="V177" s="83"/>
      <c r="W177" s="83"/>
      <c r="X177" s="83"/>
      <c r="Y177" s="83"/>
      <c r="Z177" s="83"/>
    </row>
    <row r="178">
      <c r="T178" s="83"/>
      <c r="U178" s="83"/>
      <c r="V178" s="83"/>
      <c r="W178" s="83"/>
      <c r="X178" s="83"/>
      <c r="Y178" s="83"/>
      <c r="Z178" s="83"/>
    </row>
    <row r="179">
      <c r="T179" s="83"/>
      <c r="U179" s="83"/>
      <c r="V179" s="83"/>
      <c r="W179" s="83"/>
      <c r="X179" s="83"/>
      <c r="Y179" s="83"/>
      <c r="Z179" s="83"/>
    </row>
    <row r="180">
      <c r="T180" s="83"/>
      <c r="U180" s="83"/>
      <c r="V180" s="83"/>
      <c r="W180" s="83"/>
      <c r="X180" s="83"/>
      <c r="Y180" s="83"/>
      <c r="Z180" s="83"/>
    </row>
    <row r="181">
      <c r="T181" s="83"/>
      <c r="U181" s="83"/>
      <c r="V181" s="83"/>
      <c r="W181" s="83"/>
      <c r="X181" s="83"/>
      <c r="Y181" s="83"/>
      <c r="Z181" s="83"/>
    </row>
    <row r="182">
      <c r="T182" s="83"/>
      <c r="U182" s="83"/>
      <c r="V182" s="83"/>
      <c r="W182" s="83"/>
      <c r="X182" s="83"/>
      <c r="Y182" s="83"/>
      <c r="Z182" s="83"/>
    </row>
    <row r="183">
      <c r="T183" s="83"/>
      <c r="U183" s="83"/>
      <c r="V183" s="83"/>
      <c r="W183" s="83"/>
      <c r="X183" s="83"/>
      <c r="Y183" s="83"/>
      <c r="Z183" s="83"/>
    </row>
    <row r="184">
      <c r="T184" s="83"/>
      <c r="U184" s="83"/>
      <c r="V184" s="83"/>
      <c r="W184" s="83"/>
      <c r="X184" s="83"/>
      <c r="Y184" s="83"/>
      <c r="Z184" s="83"/>
    </row>
    <row r="185">
      <c r="T185" s="83"/>
      <c r="U185" s="83"/>
      <c r="V185" s="83"/>
      <c r="W185" s="83"/>
      <c r="X185" s="83"/>
      <c r="Y185" s="83"/>
      <c r="Z185" s="83"/>
    </row>
    <row r="186">
      <c r="T186" s="83"/>
      <c r="U186" s="83"/>
      <c r="V186" s="83"/>
      <c r="W186" s="83"/>
      <c r="X186" s="83"/>
      <c r="Y186" s="83"/>
      <c r="Z186" s="83"/>
    </row>
    <row r="187">
      <c r="T187" s="83"/>
      <c r="U187" s="83"/>
      <c r="V187" s="83"/>
      <c r="W187" s="83"/>
      <c r="X187" s="83"/>
      <c r="Y187" s="83"/>
      <c r="Z187" s="83"/>
    </row>
    <row r="188">
      <c r="T188" s="83"/>
      <c r="U188" s="83"/>
      <c r="V188" s="83"/>
      <c r="W188" s="83"/>
      <c r="X188" s="83"/>
      <c r="Y188" s="83"/>
      <c r="Z188" s="83"/>
    </row>
    <row r="189">
      <c r="T189" s="83"/>
      <c r="U189" s="83"/>
      <c r="V189" s="83"/>
      <c r="W189" s="83"/>
      <c r="X189" s="83"/>
      <c r="Y189" s="83"/>
      <c r="Z189" s="83"/>
    </row>
    <row r="190">
      <c r="T190" s="83"/>
      <c r="U190" s="83"/>
      <c r="V190" s="83"/>
      <c r="W190" s="83"/>
      <c r="X190" s="83"/>
      <c r="Y190" s="83"/>
      <c r="Z190" s="83"/>
    </row>
    <row r="191">
      <c r="T191" s="83"/>
      <c r="U191" s="83"/>
      <c r="V191" s="83"/>
      <c r="W191" s="83"/>
      <c r="X191" s="83"/>
      <c r="Y191" s="83"/>
      <c r="Z191" s="83"/>
    </row>
    <row r="192">
      <c r="T192" s="83"/>
      <c r="U192" s="83"/>
      <c r="V192" s="83"/>
      <c r="W192" s="83"/>
      <c r="X192" s="83"/>
      <c r="Y192" s="83"/>
      <c r="Z192" s="83"/>
    </row>
    <row r="193">
      <c r="T193" s="83"/>
      <c r="U193" s="83"/>
      <c r="V193" s="83"/>
      <c r="W193" s="83"/>
      <c r="X193" s="83"/>
      <c r="Y193" s="83"/>
      <c r="Z193" s="83"/>
    </row>
    <row r="194">
      <c r="T194" s="83"/>
      <c r="U194" s="83"/>
      <c r="V194" s="83"/>
      <c r="W194" s="83"/>
      <c r="X194" s="83"/>
      <c r="Y194" s="83"/>
      <c r="Z194" s="83"/>
    </row>
    <row r="195">
      <c r="T195" s="83"/>
      <c r="U195" s="83"/>
      <c r="V195" s="83"/>
      <c r="W195" s="83"/>
      <c r="X195" s="83"/>
      <c r="Y195" s="83"/>
      <c r="Z195" s="83"/>
    </row>
    <row r="196">
      <c r="T196" s="83"/>
      <c r="U196" s="83"/>
      <c r="V196" s="83"/>
      <c r="W196" s="83"/>
      <c r="X196" s="83"/>
      <c r="Y196" s="83"/>
      <c r="Z196" s="83"/>
    </row>
    <row r="197">
      <c r="T197" s="83"/>
      <c r="U197" s="83"/>
      <c r="V197" s="83"/>
      <c r="W197" s="83"/>
      <c r="X197" s="83"/>
      <c r="Y197" s="83"/>
      <c r="Z197" s="83"/>
    </row>
    <row r="198">
      <c r="T198" s="83"/>
      <c r="U198" s="83"/>
      <c r="V198" s="83"/>
      <c r="W198" s="83"/>
      <c r="X198" s="83"/>
      <c r="Y198" s="83"/>
      <c r="Z198" s="83"/>
    </row>
    <row r="199">
      <c r="T199" s="83"/>
      <c r="U199" s="83"/>
      <c r="V199" s="83"/>
      <c r="W199" s="83"/>
      <c r="X199" s="83"/>
      <c r="Y199" s="83"/>
      <c r="Z199" s="83"/>
    </row>
    <row r="200">
      <c r="T200" s="83"/>
      <c r="U200" s="83"/>
      <c r="V200" s="83"/>
      <c r="W200" s="83"/>
      <c r="X200" s="83"/>
      <c r="Y200" s="83"/>
      <c r="Z200" s="83"/>
    </row>
    <row r="201">
      <c r="T201" s="83"/>
      <c r="U201" s="83"/>
      <c r="V201" s="83"/>
      <c r="W201" s="83"/>
      <c r="X201" s="83"/>
      <c r="Y201" s="83"/>
      <c r="Z201" s="83"/>
    </row>
    <row r="202">
      <c r="T202" s="83"/>
      <c r="U202" s="83"/>
      <c r="V202" s="83"/>
      <c r="W202" s="83"/>
      <c r="X202" s="83"/>
      <c r="Y202" s="83"/>
      <c r="Z202" s="83"/>
    </row>
    <row r="203">
      <c r="T203" s="83"/>
      <c r="U203" s="83"/>
      <c r="V203" s="83"/>
      <c r="W203" s="83"/>
      <c r="X203" s="83"/>
      <c r="Y203" s="83"/>
      <c r="Z203" s="83"/>
    </row>
    <row r="204">
      <c r="T204" s="83"/>
      <c r="U204" s="83"/>
      <c r="V204" s="83"/>
      <c r="W204" s="83"/>
      <c r="X204" s="83"/>
      <c r="Y204" s="83"/>
      <c r="Z204" s="83"/>
    </row>
    <row r="205">
      <c r="T205" s="83"/>
      <c r="U205" s="83"/>
      <c r="V205" s="83"/>
      <c r="W205" s="83"/>
      <c r="X205" s="83"/>
      <c r="Y205" s="83"/>
      <c r="Z205" s="83"/>
    </row>
    <row r="206">
      <c r="T206" s="83"/>
      <c r="U206" s="83"/>
      <c r="V206" s="83"/>
      <c r="W206" s="83"/>
      <c r="X206" s="83"/>
      <c r="Y206" s="83"/>
      <c r="Z206" s="83"/>
    </row>
    <row r="207">
      <c r="T207" s="83"/>
      <c r="U207" s="83"/>
      <c r="V207" s="83"/>
      <c r="W207" s="83"/>
      <c r="X207" s="83"/>
      <c r="Y207" s="83"/>
      <c r="Z207" s="83"/>
    </row>
    <row r="208">
      <c r="T208" s="83"/>
      <c r="U208" s="83"/>
      <c r="V208" s="83"/>
      <c r="W208" s="83"/>
      <c r="X208" s="83"/>
      <c r="Y208" s="83"/>
      <c r="Z208" s="83"/>
    </row>
    <row r="209">
      <c r="T209" s="83"/>
      <c r="U209" s="83"/>
      <c r="V209" s="83"/>
      <c r="W209" s="83"/>
      <c r="X209" s="83"/>
      <c r="Y209" s="83"/>
      <c r="Z209" s="83"/>
    </row>
    <row r="210">
      <c r="T210" s="83"/>
      <c r="U210" s="83"/>
      <c r="V210" s="83"/>
      <c r="W210" s="83"/>
      <c r="X210" s="83"/>
      <c r="Y210" s="83"/>
      <c r="Z210" s="83"/>
    </row>
    <row r="211">
      <c r="T211" s="83"/>
      <c r="U211" s="83"/>
      <c r="V211" s="83"/>
      <c r="W211" s="83"/>
      <c r="X211" s="83"/>
      <c r="Y211" s="83"/>
      <c r="Z211" s="83"/>
    </row>
    <row r="212">
      <c r="T212" s="83"/>
      <c r="U212" s="83"/>
      <c r="V212" s="83"/>
      <c r="W212" s="83"/>
      <c r="X212" s="83"/>
      <c r="Y212" s="83"/>
      <c r="Z212" s="83"/>
    </row>
    <row r="213">
      <c r="T213" s="83"/>
      <c r="U213" s="83"/>
      <c r="V213" s="83"/>
      <c r="W213" s="83"/>
      <c r="X213" s="83"/>
      <c r="Y213" s="83"/>
      <c r="Z213" s="83"/>
    </row>
    <row r="214">
      <c r="T214" s="83"/>
      <c r="U214" s="83"/>
      <c r="V214" s="83"/>
      <c r="W214" s="83"/>
      <c r="X214" s="83"/>
      <c r="Y214" s="83"/>
      <c r="Z214" s="83"/>
    </row>
    <row r="215">
      <c r="T215" s="83"/>
      <c r="U215" s="83"/>
      <c r="V215" s="83"/>
      <c r="W215" s="83"/>
      <c r="X215" s="83"/>
      <c r="Y215" s="83"/>
      <c r="Z215" s="83"/>
    </row>
    <row r="216">
      <c r="T216" s="83"/>
      <c r="U216" s="83"/>
      <c r="V216" s="83"/>
      <c r="W216" s="83"/>
      <c r="X216" s="83"/>
      <c r="Y216" s="83"/>
      <c r="Z216" s="83"/>
    </row>
    <row r="217">
      <c r="T217" s="83"/>
      <c r="U217" s="83"/>
      <c r="V217" s="83"/>
      <c r="W217" s="83"/>
      <c r="X217" s="83"/>
      <c r="Y217" s="83"/>
      <c r="Z217" s="83"/>
    </row>
    <row r="218">
      <c r="T218" s="83"/>
      <c r="U218" s="83"/>
      <c r="V218" s="83"/>
      <c r="W218" s="83"/>
      <c r="X218" s="83"/>
      <c r="Y218" s="83"/>
      <c r="Z218" s="83"/>
    </row>
    <row r="219">
      <c r="T219" s="83"/>
      <c r="U219" s="83"/>
      <c r="V219" s="83"/>
      <c r="W219" s="83"/>
      <c r="X219" s="83"/>
      <c r="Y219" s="83"/>
      <c r="Z219" s="83"/>
    </row>
    <row r="220">
      <c r="T220" s="83"/>
      <c r="U220" s="83"/>
      <c r="V220" s="83"/>
      <c r="W220" s="83"/>
      <c r="X220" s="83"/>
      <c r="Y220" s="83"/>
      <c r="Z220" s="83"/>
    </row>
    <row r="221">
      <c r="T221" s="83"/>
      <c r="U221" s="83"/>
      <c r="V221" s="83"/>
      <c r="W221" s="83"/>
      <c r="X221" s="83"/>
      <c r="Y221" s="83"/>
      <c r="Z221" s="83"/>
    </row>
    <row r="222">
      <c r="T222" s="83"/>
      <c r="U222" s="83"/>
      <c r="V222" s="83"/>
      <c r="W222" s="83"/>
      <c r="X222" s="83"/>
      <c r="Y222" s="83"/>
      <c r="Z222" s="83"/>
    </row>
    <row r="223">
      <c r="T223" s="83"/>
      <c r="U223" s="83"/>
      <c r="V223" s="83"/>
      <c r="W223" s="83"/>
      <c r="X223" s="83"/>
      <c r="Y223" s="83"/>
      <c r="Z223" s="83"/>
    </row>
    <row r="224">
      <c r="T224" s="83"/>
      <c r="U224" s="83"/>
      <c r="V224" s="83"/>
      <c r="W224" s="83"/>
      <c r="X224" s="83"/>
      <c r="Y224" s="83"/>
      <c r="Z224" s="83"/>
    </row>
    <row r="225">
      <c r="T225" s="83"/>
      <c r="U225" s="83"/>
      <c r="V225" s="83"/>
      <c r="W225" s="83"/>
      <c r="X225" s="83"/>
      <c r="Y225" s="83"/>
      <c r="Z225" s="83"/>
    </row>
    <row r="226">
      <c r="T226" s="83"/>
      <c r="U226" s="83"/>
      <c r="V226" s="83"/>
      <c r="W226" s="83"/>
      <c r="X226" s="83"/>
      <c r="Y226" s="83"/>
      <c r="Z226" s="83"/>
    </row>
    <row r="227">
      <c r="T227" s="83"/>
      <c r="U227" s="83"/>
      <c r="V227" s="83"/>
      <c r="W227" s="83"/>
      <c r="X227" s="83"/>
      <c r="Y227" s="83"/>
      <c r="Z227" s="83"/>
    </row>
    <row r="228">
      <c r="T228" s="83"/>
      <c r="U228" s="83"/>
      <c r="V228" s="83"/>
      <c r="W228" s="83"/>
      <c r="X228" s="83"/>
      <c r="Y228" s="83"/>
      <c r="Z228" s="83"/>
    </row>
    <row r="229">
      <c r="T229" s="83"/>
      <c r="U229" s="83"/>
      <c r="V229" s="83"/>
      <c r="W229" s="83"/>
      <c r="X229" s="83"/>
      <c r="Y229" s="83"/>
      <c r="Z229" s="83"/>
    </row>
    <row r="230">
      <c r="T230" s="83"/>
      <c r="U230" s="83"/>
      <c r="V230" s="83"/>
      <c r="W230" s="83"/>
      <c r="X230" s="83"/>
      <c r="Y230" s="83"/>
      <c r="Z230" s="83"/>
    </row>
    <row r="231">
      <c r="T231" s="83"/>
      <c r="U231" s="83"/>
      <c r="V231" s="83"/>
      <c r="W231" s="83"/>
      <c r="X231" s="83"/>
      <c r="Y231" s="83"/>
      <c r="Z231" s="83"/>
    </row>
    <row r="232">
      <c r="T232" s="83"/>
      <c r="U232" s="83"/>
      <c r="V232" s="83"/>
      <c r="W232" s="83"/>
      <c r="X232" s="83"/>
      <c r="Y232" s="83"/>
      <c r="Z232" s="83"/>
    </row>
    <row r="233">
      <c r="T233" s="83"/>
      <c r="U233" s="83"/>
      <c r="V233" s="83"/>
      <c r="W233" s="83"/>
      <c r="X233" s="83"/>
      <c r="Y233" s="83"/>
      <c r="Z233" s="83"/>
    </row>
    <row r="234">
      <c r="T234" s="83"/>
      <c r="U234" s="83"/>
      <c r="V234" s="83"/>
      <c r="W234" s="83"/>
      <c r="X234" s="83"/>
      <c r="Y234" s="83"/>
      <c r="Z234" s="83"/>
    </row>
    <row r="235">
      <c r="T235" s="83"/>
      <c r="U235" s="83"/>
      <c r="V235" s="83"/>
      <c r="W235" s="83"/>
      <c r="X235" s="83"/>
      <c r="Y235" s="83"/>
      <c r="Z235" s="83"/>
    </row>
    <row r="236">
      <c r="T236" s="83"/>
      <c r="U236" s="83"/>
      <c r="V236" s="83"/>
      <c r="W236" s="83"/>
      <c r="X236" s="83"/>
      <c r="Y236" s="83"/>
      <c r="Z236" s="83"/>
    </row>
    <row r="237">
      <c r="T237" s="83"/>
      <c r="U237" s="83"/>
      <c r="V237" s="83"/>
      <c r="W237" s="83"/>
      <c r="X237" s="83"/>
      <c r="Y237" s="83"/>
      <c r="Z237" s="83"/>
    </row>
    <row r="238">
      <c r="T238" s="83"/>
      <c r="U238" s="83"/>
      <c r="V238" s="83"/>
      <c r="W238" s="83"/>
      <c r="X238" s="83"/>
      <c r="Y238" s="83"/>
      <c r="Z238" s="83"/>
    </row>
    <row r="239">
      <c r="T239" s="83"/>
      <c r="U239" s="83"/>
      <c r="V239" s="83"/>
      <c r="W239" s="83"/>
      <c r="X239" s="83"/>
      <c r="Y239" s="83"/>
      <c r="Z239" s="83"/>
    </row>
    <row r="240">
      <c r="T240" s="83"/>
      <c r="U240" s="83"/>
      <c r="V240" s="83"/>
      <c r="W240" s="83"/>
      <c r="X240" s="83"/>
      <c r="Y240" s="83"/>
      <c r="Z240" s="83"/>
    </row>
    <row r="241">
      <c r="T241" s="83"/>
      <c r="U241" s="83"/>
      <c r="V241" s="83"/>
      <c r="W241" s="83"/>
      <c r="X241" s="83"/>
      <c r="Y241" s="83"/>
      <c r="Z241" s="83"/>
    </row>
    <row r="242">
      <c r="T242" s="83"/>
      <c r="U242" s="83"/>
      <c r="V242" s="83"/>
      <c r="W242" s="83"/>
      <c r="X242" s="83"/>
      <c r="Y242" s="83"/>
      <c r="Z242" s="83"/>
    </row>
    <row r="243">
      <c r="T243" s="83"/>
      <c r="U243" s="83"/>
      <c r="V243" s="83"/>
      <c r="W243" s="83"/>
      <c r="X243" s="83"/>
      <c r="Y243" s="83"/>
      <c r="Z243" s="83"/>
    </row>
    <row r="244">
      <c r="T244" s="83"/>
      <c r="U244" s="83"/>
      <c r="V244" s="83"/>
      <c r="W244" s="83"/>
      <c r="X244" s="83"/>
      <c r="Y244" s="83"/>
      <c r="Z244" s="83"/>
    </row>
    <row r="245">
      <c r="T245" s="83"/>
      <c r="U245" s="83"/>
      <c r="V245" s="83"/>
      <c r="W245" s="83"/>
      <c r="X245" s="83"/>
      <c r="Y245" s="83"/>
      <c r="Z245" s="83"/>
    </row>
    <row r="246">
      <c r="T246" s="83"/>
      <c r="U246" s="83"/>
      <c r="V246" s="83"/>
      <c r="W246" s="83"/>
      <c r="X246" s="83"/>
      <c r="Y246" s="83"/>
      <c r="Z246" s="83"/>
    </row>
    <row r="247">
      <c r="T247" s="83"/>
      <c r="U247" s="83"/>
      <c r="V247" s="83"/>
      <c r="W247" s="83"/>
      <c r="X247" s="83"/>
      <c r="Y247" s="83"/>
      <c r="Z247" s="83"/>
    </row>
    <row r="248">
      <c r="T248" s="83"/>
      <c r="U248" s="83"/>
      <c r="V248" s="83"/>
      <c r="W248" s="83"/>
      <c r="X248" s="83"/>
      <c r="Y248" s="83"/>
      <c r="Z248" s="83"/>
    </row>
    <row r="249">
      <c r="T249" s="83"/>
      <c r="U249" s="83"/>
      <c r="V249" s="83"/>
      <c r="W249" s="83"/>
      <c r="X249" s="83"/>
      <c r="Y249" s="83"/>
      <c r="Z249" s="83"/>
    </row>
    <row r="250">
      <c r="T250" s="83"/>
      <c r="U250" s="83"/>
      <c r="V250" s="83"/>
      <c r="W250" s="83"/>
      <c r="X250" s="83"/>
      <c r="Y250" s="83"/>
      <c r="Z250" s="83"/>
    </row>
    <row r="251">
      <c r="T251" s="83"/>
      <c r="U251" s="83"/>
      <c r="V251" s="83"/>
      <c r="W251" s="83"/>
      <c r="X251" s="83"/>
      <c r="Y251" s="83"/>
      <c r="Z251" s="83"/>
    </row>
    <row r="252">
      <c r="T252" s="83"/>
      <c r="U252" s="83"/>
      <c r="V252" s="83"/>
      <c r="W252" s="83"/>
      <c r="X252" s="83"/>
      <c r="Y252" s="83"/>
      <c r="Z252" s="83"/>
    </row>
    <row r="253">
      <c r="T253" s="83"/>
      <c r="U253" s="83"/>
      <c r="V253" s="83"/>
      <c r="W253" s="83"/>
      <c r="X253" s="83"/>
      <c r="Y253" s="83"/>
      <c r="Z253" s="83"/>
    </row>
    <row r="254">
      <c r="T254" s="83"/>
      <c r="U254" s="83"/>
      <c r="V254" s="83"/>
      <c r="W254" s="83"/>
      <c r="X254" s="83"/>
      <c r="Y254" s="83"/>
      <c r="Z254" s="83"/>
    </row>
    <row r="255">
      <c r="T255" s="83"/>
      <c r="U255" s="83"/>
      <c r="V255" s="83"/>
      <c r="W255" s="83"/>
      <c r="X255" s="83"/>
      <c r="Y255" s="83"/>
      <c r="Z255" s="83"/>
    </row>
    <row r="256">
      <c r="T256" s="83"/>
      <c r="U256" s="83"/>
      <c r="V256" s="83"/>
      <c r="W256" s="83"/>
      <c r="X256" s="83"/>
      <c r="Y256" s="83"/>
      <c r="Z256" s="83"/>
    </row>
    <row r="257">
      <c r="T257" s="83"/>
      <c r="U257" s="83"/>
      <c r="V257" s="83"/>
      <c r="W257" s="83"/>
      <c r="X257" s="83"/>
      <c r="Y257" s="83"/>
      <c r="Z257" s="83"/>
    </row>
    <row r="258">
      <c r="T258" s="83"/>
      <c r="U258" s="83"/>
      <c r="V258" s="83"/>
      <c r="W258" s="83"/>
      <c r="X258" s="83"/>
      <c r="Y258" s="83"/>
      <c r="Z258" s="83"/>
    </row>
    <row r="259">
      <c r="T259" s="83"/>
      <c r="U259" s="83"/>
      <c r="V259" s="83"/>
      <c r="W259" s="83"/>
      <c r="X259" s="83"/>
      <c r="Y259" s="83"/>
      <c r="Z259" s="83"/>
    </row>
    <row r="260">
      <c r="T260" s="83"/>
      <c r="U260" s="83"/>
      <c r="V260" s="83"/>
      <c r="W260" s="83"/>
      <c r="X260" s="83"/>
      <c r="Y260" s="83"/>
      <c r="Z260" s="83"/>
    </row>
    <row r="261">
      <c r="T261" s="83"/>
      <c r="U261" s="83"/>
      <c r="V261" s="83"/>
      <c r="W261" s="83"/>
      <c r="X261" s="83"/>
      <c r="Y261" s="83"/>
      <c r="Z261" s="83"/>
    </row>
    <row r="262">
      <c r="T262" s="83"/>
      <c r="U262" s="83"/>
      <c r="V262" s="83"/>
      <c r="W262" s="83"/>
      <c r="X262" s="83"/>
      <c r="Y262" s="83"/>
      <c r="Z262" s="83"/>
    </row>
    <row r="263">
      <c r="T263" s="83"/>
      <c r="U263" s="83"/>
      <c r="V263" s="83"/>
      <c r="W263" s="83"/>
      <c r="X263" s="83"/>
      <c r="Y263" s="83"/>
      <c r="Z263" s="83"/>
    </row>
    <row r="264">
      <c r="T264" s="83"/>
      <c r="U264" s="83"/>
      <c r="V264" s="83"/>
      <c r="W264" s="83"/>
      <c r="X264" s="83"/>
      <c r="Y264" s="83"/>
      <c r="Z264" s="83"/>
    </row>
    <row r="265">
      <c r="T265" s="83"/>
      <c r="U265" s="83"/>
      <c r="V265" s="83"/>
      <c r="W265" s="83"/>
      <c r="X265" s="83"/>
      <c r="Y265" s="83"/>
      <c r="Z265" s="83"/>
    </row>
    <row r="266">
      <c r="T266" s="83"/>
      <c r="U266" s="83"/>
      <c r="V266" s="83"/>
      <c r="W266" s="83"/>
      <c r="X266" s="83"/>
      <c r="Y266" s="83"/>
      <c r="Z266" s="83"/>
    </row>
    <row r="267">
      <c r="T267" s="83"/>
      <c r="U267" s="83"/>
      <c r="V267" s="83"/>
      <c r="W267" s="83"/>
      <c r="X267" s="83"/>
      <c r="Y267" s="83"/>
      <c r="Z267" s="83"/>
    </row>
    <row r="268">
      <c r="T268" s="83"/>
      <c r="U268" s="83"/>
      <c r="V268" s="83"/>
      <c r="W268" s="83"/>
      <c r="X268" s="83"/>
      <c r="Y268" s="83"/>
      <c r="Z268" s="83"/>
    </row>
    <row r="269">
      <c r="T269" s="83"/>
      <c r="U269" s="83"/>
      <c r="V269" s="83"/>
      <c r="W269" s="83"/>
      <c r="X269" s="83"/>
      <c r="Y269" s="83"/>
      <c r="Z269" s="83"/>
    </row>
    <row r="270">
      <c r="T270" s="83"/>
      <c r="U270" s="83"/>
      <c r="V270" s="83"/>
      <c r="W270" s="83"/>
      <c r="X270" s="83"/>
      <c r="Y270" s="83"/>
      <c r="Z270" s="83"/>
    </row>
    <row r="271">
      <c r="T271" s="83"/>
      <c r="U271" s="83"/>
      <c r="V271" s="83"/>
      <c r="W271" s="83"/>
      <c r="X271" s="83"/>
      <c r="Y271" s="83"/>
      <c r="Z271" s="83"/>
    </row>
    <row r="272">
      <c r="T272" s="83"/>
      <c r="U272" s="83"/>
      <c r="V272" s="83"/>
      <c r="W272" s="83"/>
      <c r="X272" s="83"/>
      <c r="Y272" s="83"/>
      <c r="Z272" s="83"/>
    </row>
    <row r="273">
      <c r="T273" s="83"/>
      <c r="U273" s="83"/>
      <c r="V273" s="83"/>
      <c r="W273" s="83"/>
      <c r="X273" s="83"/>
      <c r="Y273" s="83"/>
      <c r="Z273" s="83"/>
    </row>
    <row r="274">
      <c r="T274" s="83"/>
      <c r="U274" s="83"/>
      <c r="V274" s="83"/>
      <c r="W274" s="83"/>
      <c r="X274" s="83"/>
      <c r="Y274" s="83"/>
      <c r="Z274" s="83"/>
    </row>
    <row r="275">
      <c r="T275" s="83"/>
      <c r="U275" s="83"/>
      <c r="V275" s="83"/>
      <c r="W275" s="83"/>
      <c r="X275" s="83"/>
      <c r="Y275" s="83"/>
      <c r="Z275" s="83"/>
    </row>
    <row r="276">
      <c r="T276" s="83"/>
      <c r="U276" s="83"/>
      <c r="V276" s="83"/>
      <c r="W276" s="83"/>
      <c r="X276" s="83"/>
      <c r="Y276" s="83"/>
      <c r="Z276" s="83"/>
    </row>
    <row r="277">
      <c r="T277" s="83"/>
      <c r="U277" s="83"/>
      <c r="V277" s="83"/>
      <c r="W277" s="83"/>
      <c r="X277" s="83"/>
      <c r="Y277" s="83"/>
      <c r="Z277" s="83"/>
    </row>
    <row r="278">
      <c r="T278" s="83"/>
      <c r="U278" s="83"/>
      <c r="V278" s="83"/>
      <c r="W278" s="83"/>
      <c r="X278" s="83"/>
      <c r="Y278" s="83"/>
      <c r="Z278" s="83"/>
    </row>
    <row r="279">
      <c r="T279" s="83"/>
      <c r="U279" s="83"/>
      <c r="V279" s="83"/>
      <c r="W279" s="83"/>
      <c r="X279" s="83"/>
      <c r="Y279" s="83"/>
      <c r="Z279" s="83"/>
    </row>
    <row r="280">
      <c r="T280" s="83"/>
      <c r="U280" s="83"/>
      <c r="V280" s="83"/>
      <c r="W280" s="83"/>
      <c r="X280" s="83"/>
      <c r="Y280" s="83"/>
      <c r="Z280" s="83"/>
    </row>
    <row r="281">
      <c r="T281" s="83"/>
      <c r="U281" s="83"/>
      <c r="V281" s="83"/>
      <c r="W281" s="83"/>
      <c r="X281" s="83"/>
      <c r="Y281" s="83"/>
      <c r="Z281" s="83"/>
    </row>
    <row r="282">
      <c r="T282" s="83"/>
      <c r="U282" s="83"/>
      <c r="V282" s="83"/>
      <c r="W282" s="83"/>
      <c r="X282" s="83"/>
      <c r="Y282" s="83"/>
      <c r="Z282" s="83"/>
    </row>
    <row r="283">
      <c r="T283" s="83"/>
      <c r="U283" s="83"/>
      <c r="V283" s="83"/>
      <c r="W283" s="83"/>
      <c r="X283" s="83"/>
      <c r="Y283" s="83"/>
      <c r="Z283" s="83"/>
    </row>
    <row r="284">
      <c r="T284" s="83"/>
      <c r="U284" s="83"/>
      <c r="V284" s="83"/>
      <c r="W284" s="83"/>
      <c r="X284" s="83"/>
      <c r="Y284" s="83"/>
      <c r="Z284" s="83"/>
    </row>
    <row r="285">
      <c r="T285" s="83"/>
      <c r="U285" s="83"/>
      <c r="V285" s="83"/>
      <c r="W285" s="83"/>
      <c r="X285" s="83"/>
      <c r="Y285" s="83"/>
      <c r="Z285" s="83"/>
    </row>
    <row r="286">
      <c r="T286" s="83"/>
      <c r="U286" s="83"/>
      <c r="V286" s="83"/>
      <c r="W286" s="83"/>
      <c r="X286" s="83"/>
      <c r="Y286" s="83"/>
      <c r="Z286" s="83"/>
    </row>
    <row r="287">
      <c r="T287" s="83"/>
      <c r="U287" s="83"/>
      <c r="V287" s="83"/>
      <c r="W287" s="83"/>
      <c r="X287" s="83"/>
      <c r="Y287" s="83"/>
      <c r="Z287" s="83"/>
    </row>
    <row r="288">
      <c r="T288" s="83"/>
      <c r="U288" s="83"/>
      <c r="V288" s="83"/>
      <c r="W288" s="83"/>
      <c r="X288" s="83"/>
      <c r="Y288" s="83"/>
      <c r="Z288" s="83"/>
    </row>
    <row r="289">
      <c r="T289" s="83"/>
      <c r="U289" s="83"/>
      <c r="V289" s="83"/>
      <c r="W289" s="83"/>
      <c r="X289" s="83"/>
      <c r="Y289" s="83"/>
      <c r="Z289" s="83"/>
    </row>
    <row r="290">
      <c r="T290" s="83"/>
      <c r="U290" s="83"/>
      <c r="V290" s="83"/>
      <c r="W290" s="83"/>
      <c r="X290" s="83"/>
      <c r="Y290" s="83"/>
      <c r="Z290" s="83"/>
    </row>
    <row r="291">
      <c r="T291" s="83"/>
      <c r="U291" s="83"/>
      <c r="V291" s="83"/>
      <c r="W291" s="83"/>
      <c r="X291" s="83"/>
      <c r="Y291" s="83"/>
      <c r="Z291" s="83"/>
    </row>
    <row r="292">
      <c r="T292" s="83"/>
      <c r="U292" s="83"/>
      <c r="V292" s="83"/>
      <c r="W292" s="83"/>
      <c r="X292" s="83"/>
      <c r="Y292" s="83"/>
      <c r="Z292" s="83"/>
    </row>
    <row r="293">
      <c r="T293" s="83"/>
      <c r="U293" s="83"/>
      <c r="V293" s="83"/>
      <c r="W293" s="83"/>
      <c r="X293" s="83"/>
      <c r="Y293" s="83"/>
      <c r="Z293" s="83"/>
    </row>
    <row r="294">
      <c r="T294" s="83"/>
      <c r="U294" s="83"/>
      <c r="V294" s="83"/>
      <c r="W294" s="83"/>
      <c r="X294" s="83"/>
      <c r="Y294" s="83"/>
      <c r="Z294" s="83"/>
    </row>
    <row r="295">
      <c r="T295" s="83"/>
      <c r="U295" s="83"/>
      <c r="V295" s="83"/>
      <c r="W295" s="83"/>
      <c r="X295" s="83"/>
      <c r="Y295" s="83"/>
      <c r="Z295" s="83"/>
    </row>
    <row r="296">
      <c r="T296" s="83"/>
      <c r="U296" s="83"/>
      <c r="V296" s="83"/>
      <c r="W296" s="83"/>
      <c r="X296" s="83"/>
      <c r="Y296" s="83"/>
      <c r="Z296" s="83"/>
    </row>
    <row r="297">
      <c r="T297" s="83"/>
      <c r="U297" s="83"/>
      <c r="V297" s="83"/>
      <c r="W297" s="83"/>
      <c r="X297" s="83"/>
      <c r="Y297" s="83"/>
      <c r="Z297" s="83"/>
    </row>
    <row r="298">
      <c r="T298" s="83"/>
      <c r="U298" s="83"/>
      <c r="V298" s="83"/>
      <c r="W298" s="83"/>
      <c r="X298" s="83"/>
      <c r="Y298" s="83"/>
      <c r="Z298" s="83"/>
    </row>
    <row r="299">
      <c r="T299" s="83"/>
      <c r="U299" s="83"/>
      <c r="V299" s="83"/>
      <c r="W299" s="83"/>
      <c r="X299" s="83"/>
      <c r="Y299" s="83"/>
      <c r="Z299" s="83"/>
    </row>
    <row r="300">
      <c r="T300" s="83"/>
      <c r="U300" s="83"/>
      <c r="V300" s="83"/>
      <c r="W300" s="83"/>
      <c r="X300" s="83"/>
      <c r="Y300" s="83"/>
      <c r="Z300" s="83"/>
    </row>
    <row r="301">
      <c r="T301" s="83"/>
      <c r="U301" s="83"/>
      <c r="V301" s="83"/>
      <c r="W301" s="83"/>
      <c r="X301" s="83"/>
      <c r="Y301" s="83"/>
      <c r="Z301" s="83"/>
    </row>
    <row r="302">
      <c r="T302" s="83"/>
      <c r="U302" s="83"/>
      <c r="V302" s="83"/>
      <c r="W302" s="83"/>
      <c r="X302" s="83"/>
      <c r="Y302" s="83"/>
      <c r="Z302" s="83"/>
    </row>
    <row r="303">
      <c r="T303" s="83"/>
      <c r="U303" s="83"/>
      <c r="V303" s="83"/>
      <c r="W303" s="83"/>
      <c r="X303" s="83"/>
      <c r="Y303" s="83"/>
      <c r="Z303" s="83"/>
    </row>
    <row r="304">
      <c r="T304" s="83"/>
      <c r="U304" s="83"/>
      <c r="V304" s="83"/>
      <c r="W304" s="83"/>
      <c r="X304" s="83"/>
      <c r="Y304" s="83"/>
      <c r="Z304" s="83"/>
    </row>
    <row r="305">
      <c r="T305" s="83"/>
      <c r="U305" s="83"/>
      <c r="V305" s="83"/>
      <c r="W305" s="83"/>
      <c r="X305" s="83"/>
      <c r="Y305" s="83"/>
      <c r="Z305" s="83"/>
    </row>
    <row r="306">
      <c r="T306" s="83"/>
      <c r="U306" s="83"/>
      <c r="V306" s="83"/>
      <c r="W306" s="83"/>
      <c r="X306" s="83"/>
      <c r="Y306" s="83"/>
      <c r="Z306" s="83"/>
    </row>
    <row r="307">
      <c r="T307" s="83"/>
      <c r="U307" s="83"/>
      <c r="V307" s="83"/>
      <c r="W307" s="83"/>
      <c r="X307" s="83"/>
      <c r="Y307" s="83"/>
      <c r="Z307" s="83"/>
    </row>
    <row r="308">
      <c r="T308" s="83"/>
      <c r="U308" s="83"/>
      <c r="V308" s="83"/>
      <c r="W308" s="83"/>
      <c r="X308" s="83"/>
      <c r="Y308" s="83"/>
      <c r="Z308" s="83"/>
    </row>
    <row r="309">
      <c r="T309" s="83"/>
      <c r="U309" s="83"/>
      <c r="V309" s="83"/>
      <c r="W309" s="83"/>
      <c r="X309" s="83"/>
      <c r="Y309" s="83"/>
      <c r="Z309" s="83"/>
    </row>
    <row r="310">
      <c r="T310" s="83"/>
      <c r="U310" s="83"/>
      <c r="V310" s="83"/>
      <c r="W310" s="83"/>
      <c r="X310" s="83"/>
      <c r="Y310" s="83"/>
      <c r="Z310" s="83"/>
    </row>
    <row r="311">
      <c r="T311" s="83"/>
      <c r="U311" s="83"/>
      <c r="V311" s="83"/>
      <c r="W311" s="83"/>
      <c r="X311" s="83"/>
      <c r="Y311" s="83"/>
      <c r="Z311" s="83"/>
    </row>
    <row r="312">
      <c r="T312" s="83"/>
      <c r="U312" s="83"/>
      <c r="V312" s="83"/>
      <c r="W312" s="83"/>
      <c r="X312" s="83"/>
      <c r="Y312" s="83"/>
      <c r="Z312" s="83"/>
    </row>
    <row r="313">
      <c r="T313" s="83"/>
      <c r="U313" s="83"/>
      <c r="V313" s="83"/>
      <c r="W313" s="83"/>
      <c r="X313" s="83"/>
      <c r="Y313" s="83"/>
      <c r="Z313" s="83"/>
    </row>
    <row r="314">
      <c r="T314" s="83"/>
      <c r="U314" s="83"/>
      <c r="V314" s="83"/>
      <c r="W314" s="83"/>
      <c r="X314" s="83"/>
      <c r="Y314" s="83"/>
      <c r="Z314" s="83"/>
    </row>
    <row r="315">
      <c r="T315" s="83"/>
      <c r="U315" s="83"/>
      <c r="V315" s="83"/>
      <c r="W315" s="83"/>
      <c r="X315" s="83"/>
      <c r="Y315" s="83"/>
      <c r="Z315" s="83"/>
    </row>
    <row r="316">
      <c r="T316" s="83"/>
      <c r="U316" s="83"/>
      <c r="V316" s="83"/>
      <c r="W316" s="83"/>
      <c r="X316" s="83"/>
      <c r="Y316" s="83"/>
      <c r="Z316" s="83"/>
    </row>
    <row r="317">
      <c r="T317" s="83"/>
      <c r="U317" s="83"/>
      <c r="V317" s="83"/>
      <c r="W317" s="83"/>
      <c r="X317" s="83"/>
      <c r="Y317" s="83"/>
      <c r="Z317" s="83"/>
    </row>
    <row r="318">
      <c r="T318" s="83"/>
      <c r="U318" s="83"/>
      <c r="V318" s="83"/>
      <c r="W318" s="83"/>
      <c r="X318" s="83"/>
      <c r="Y318" s="83"/>
      <c r="Z318" s="83"/>
    </row>
    <row r="319">
      <c r="T319" s="83"/>
      <c r="U319" s="83"/>
      <c r="V319" s="83"/>
      <c r="W319" s="83"/>
      <c r="X319" s="83"/>
      <c r="Y319" s="83"/>
      <c r="Z319" s="83"/>
    </row>
    <row r="320">
      <c r="T320" s="83"/>
      <c r="U320" s="83"/>
      <c r="V320" s="83"/>
      <c r="W320" s="83"/>
      <c r="X320" s="83"/>
      <c r="Y320" s="83"/>
      <c r="Z320" s="83"/>
    </row>
    <row r="321">
      <c r="T321" s="83"/>
      <c r="U321" s="83"/>
      <c r="V321" s="83"/>
      <c r="W321" s="83"/>
      <c r="X321" s="83"/>
      <c r="Y321" s="83"/>
      <c r="Z321" s="83"/>
    </row>
    <row r="322">
      <c r="T322" s="83"/>
      <c r="U322" s="83"/>
      <c r="V322" s="83"/>
      <c r="W322" s="83"/>
      <c r="X322" s="83"/>
      <c r="Y322" s="83"/>
      <c r="Z322" s="83"/>
    </row>
    <row r="323">
      <c r="T323" s="83"/>
      <c r="U323" s="83"/>
      <c r="V323" s="83"/>
      <c r="W323" s="83"/>
      <c r="X323" s="83"/>
      <c r="Y323" s="83"/>
      <c r="Z323" s="83"/>
    </row>
    <row r="324">
      <c r="T324" s="83"/>
      <c r="U324" s="83"/>
      <c r="V324" s="83"/>
      <c r="W324" s="83"/>
      <c r="X324" s="83"/>
      <c r="Y324" s="83"/>
      <c r="Z324" s="83"/>
    </row>
    <row r="325">
      <c r="T325" s="83"/>
      <c r="U325" s="83"/>
      <c r="V325" s="83"/>
      <c r="W325" s="83"/>
      <c r="X325" s="83"/>
      <c r="Y325" s="83"/>
      <c r="Z325" s="83"/>
    </row>
    <row r="326">
      <c r="T326" s="83"/>
      <c r="U326" s="83"/>
      <c r="V326" s="83"/>
      <c r="W326" s="83"/>
      <c r="X326" s="83"/>
      <c r="Y326" s="83"/>
      <c r="Z326" s="83"/>
    </row>
    <row r="327">
      <c r="T327" s="83"/>
      <c r="U327" s="83"/>
      <c r="V327" s="83"/>
      <c r="W327" s="83"/>
      <c r="X327" s="83"/>
      <c r="Y327" s="83"/>
      <c r="Z327" s="83"/>
    </row>
    <row r="328">
      <c r="T328" s="83"/>
      <c r="U328" s="83"/>
      <c r="V328" s="83"/>
      <c r="W328" s="83"/>
      <c r="X328" s="83"/>
      <c r="Y328" s="83"/>
      <c r="Z328" s="83"/>
    </row>
    <row r="329">
      <c r="T329" s="83"/>
      <c r="U329" s="83"/>
      <c r="V329" s="83"/>
      <c r="W329" s="83"/>
      <c r="X329" s="83"/>
      <c r="Y329" s="83"/>
      <c r="Z329" s="83"/>
    </row>
    <row r="330">
      <c r="T330" s="83"/>
      <c r="U330" s="83"/>
      <c r="V330" s="83"/>
      <c r="W330" s="83"/>
      <c r="X330" s="83"/>
      <c r="Y330" s="83"/>
      <c r="Z330" s="83"/>
    </row>
    <row r="331">
      <c r="T331" s="83"/>
      <c r="U331" s="83"/>
      <c r="V331" s="83"/>
      <c r="W331" s="83"/>
      <c r="X331" s="83"/>
      <c r="Y331" s="83"/>
      <c r="Z331" s="83"/>
    </row>
    <row r="332">
      <c r="T332" s="83"/>
      <c r="U332" s="83"/>
      <c r="V332" s="83"/>
      <c r="W332" s="83"/>
      <c r="X332" s="83"/>
      <c r="Y332" s="83"/>
      <c r="Z332" s="83"/>
    </row>
    <row r="333">
      <c r="T333" s="83"/>
      <c r="U333" s="83"/>
      <c r="V333" s="83"/>
      <c r="W333" s="83"/>
      <c r="X333" s="83"/>
      <c r="Y333" s="83"/>
      <c r="Z333" s="83"/>
    </row>
    <row r="334">
      <c r="T334" s="83"/>
      <c r="U334" s="83"/>
      <c r="V334" s="83"/>
      <c r="W334" s="83"/>
      <c r="X334" s="83"/>
      <c r="Y334" s="83"/>
      <c r="Z334" s="83"/>
    </row>
    <row r="335">
      <c r="T335" s="83"/>
      <c r="U335" s="83"/>
      <c r="V335" s="83"/>
      <c r="W335" s="83"/>
      <c r="X335" s="83"/>
      <c r="Y335" s="83"/>
      <c r="Z335" s="83"/>
    </row>
    <row r="336">
      <c r="T336" s="83"/>
      <c r="U336" s="83"/>
      <c r="V336" s="83"/>
      <c r="W336" s="83"/>
      <c r="X336" s="83"/>
      <c r="Y336" s="83"/>
      <c r="Z336" s="83"/>
    </row>
    <row r="337">
      <c r="T337" s="83"/>
      <c r="U337" s="83"/>
      <c r="V337" s="83"/>
      <c r="W337" s="83"/>
      <c r="X337" s="83"/>
      <c r="Y337" s="83"/>
      <c r="Z337" s="83"/>
    </row>
    <row r="338">
      <c r="T338" s="83"/>
      <c r="U338" s="83"/>
      <c r="V338" s="83"/>
      <c r="W338" s="83"/>
      <c r="X338" s="83"/>
      <c r="Y338" s="83"/>
      <c r="Z338" s="83"/>
    </row>
    <row r="339">
      <c r="T339" s="83"/>
      <c r="U339" s="83"/>
      <c r="V339" s="83"/>
      <c r="W339" s="83"/>
      <c r="X339" s="83"/>
      <c r="Y339" s="83"/>
      <c r="Z339" s="83"/>
    </row>
    <row r="340">
      <c r="T340" s="83"/>
      <c r="U340" s="83"/>
      <c r="V340" s="83"/>
      <c r="W340" s="83"/>
      <c r="X340" s="83"/>
      <c r="Y340" s="83"/>
      <c r="Z340" s="83"/>
    </row>
    <row r="341">
      <c r="T341" s="83"/>
      <c r="U341" s="83"/>
      <c r="V341" s="83"/>
      <c r="W341" s="83"/>
      <c r="X341" s="83"/>
      <c r="Y341" s="83"/>
      <c r="Z341" s="83"/>
    </row>
    <row r="342">
      <c r="T342" s="83"/>
      <c r="U342" s="83"/>
      <c r="V342" s="83"/>
      <c r="W342" s="83"/>
      <c r="X342" s="83"/>
      <c r="Y342" s="83"/>
      <c r="Z342" s="83"/>
    </row>
    <row r="343">
      <c r="T343" s="83"/>
      <c r="U343" s="83"/>
      <c r="V343" s="83"/>
      <c r="W343" s="83"/>
      <c r="X343" s="83"/>
      <c r="Y343" s="83"/>
      <c r="Z343" s="83"/>
    </row>
    <row r="344">
      <c r="T344" s="83"/>
      <c r="U344" s="83"/>
      <c r="V344" s="83"/>
      <c r="W344" s="83"/>
      <c r="X344" s="83"/>
      <c r="Y344" s="83"/>
      <c r="Z344" s="83"/>
    </row>
    <row r="345">
      <c r="T345" s="83"/>
      <c r="U345" s="83"/>
      <c r="V345" s="83"/>
      <c r="W345" s="83"/>
      <c r="X345" s="83"/>
      <c r="Y345" s="83"/>
      <c r="Z345" s="83"/>
    </row>
    <row r="346">
      <c r="T346" s="83"/>
      <c r="U346" s="83"/>
      <c r="V346" s="83"/>
      <c r="W346" s="83"/>
      <c r="X346" s="83"/>
      <c r="Y346" s="83"/>
      <c r="Z346" s="83"/>
    </row>
    <row r="347">
      <c r="T347" s="83"/>
      <c r="U347" s="83"/>
      <c r="V347" s="83"/>
      <c r="W347" s="83"/>
      <c r="X347" s="83"/>
      <c r="Y347" s="83"/>
      <c r="Z347" s="83"/>
    </row>
    <row r="348">
      <c r="T348" s="83"/>
      <c r="U348" s="83"/>
      <c r="V348" s="83"/>
      <c r="W348" s="83"/>
      <c r="X348" s="83"/>
      <c r="Y348" s="83"/>
      <c r="Z348" s="83"/>
    </row>
    <row r="349">
      <c r="T349" s="83"/>
      <c r="U349" s="83"/>
      <c r="V349" s="83"/>
      <c r="W349" s="83"/>
      <c r="X349" s="83"/>
      <c r="Y349" s="83"/>
      <c r="Z349" s="83"/>
    </row>
    <row r="350">
      <c r="T350" s="83"/>
      <c r="U350" s="83"/>
      <c r="V350" s="83"/>
      <c r="W350" s="83"/>
      <c r="X350" s="83"/>
      <c r="Y350" s="83"/>
      <c r="Z350" s="83"/>
    </row>
    <row r="351">
      <c r="T351" s="83"/>
      <c r="U351" s="83"/>
      <c r="V351" s="83"/>
      <c r="W351" s="83"/>
      <c r="X351" s="83"/>
      <c r="Y351" s="83"/>
      <c r="Z351" s="83"/>
    </row>
    <row r="352">
      <c r="T352" s="83"/>
      <c r="U352" s="83"/>
      <c r="V352" s="83"/>
      <c r="W352" s="83"/>
      <c r="X352" s="83"/>
      <c r="Y352" s="83"/>
      <c r="Z352" s="83"/>
    </row>
    <row r="353">
      <c r="T353" s="83"/>
      <c r="U353" s="83"/>
      <c r="V353" s="83"/>
      <c r="W353" s="83"/>
      <c r="X353" s="83"/>
      <c r="Y353" s="83"/>
      <c r="Z353" s="83"/>
    </row>
    <row r="354">
      <c r="T354" s="83"/>
      <c r="U354" s="83"/>
      <c r="V354" s="83"/>
      <c r="W354" s="83"/>
      <c r="X354" s="83"/>
      <c r="Y354" s="83"/>
      <c r="Z354" s="83"/>
    </row>
    <row r="355">
      <c r="T355" s="83"/>
      <c r="U355" s="83"/>
      <c r="V355" s="83"/>
      <c r="W355" s="83"/>
      <c r="X355" s="83"/>
      <c r="Y355" s="83"/>
      <c r="Z355" s="83"/>
    </row>
    <row r="356">
      <c r="T356" s="83"/>
      <c r="U356" s="83"/>
      <c r="V356" s="83"/>
      <c r="W356" s="83"/>
      <c r="X356" s="83"/>
      <c r="Y356" s="83"/>
      <c r="Z356" s="83"/>
    </row>
    <row r="357">
      <c r="T357" s="83"/>
      <c r="U357" s="83"/>
      <c r="V357" s="83"/>
      <c r="W357" s="83"/>
      <c r="X357" s="83"/>
      <c r="Y357" s="83"/>
      <c r="Z357" s="83"/>
    </row>
    <row r="358">
      <c r="T358" s="83"/>
      <c r="U358" s="83"/>
      <c r="V358" s="83"/>
      <c r="W358" s="83"/>
      <c r="X358" s="83"/>
      <c r="Y358" s="83"/>
      <c r="Z358" s="83"/>
    </row>
    <row r="359">
      <c r="T359" s="83"/>
      <c r="U359" s="83"/>
      <c r="V359" s="83"/>
      <c r="W359" s="83"/>
      <c r="X359" s="83"/>
      <c r="Y359" s="83"/>
      <c r="Z359" s="83"/>
    </row>
    <row r="360">
      <c r="T360" s="83"/>
      <c r="U360" s="83"/>
      <c r="V360" s="83"/>
      <c r="W360" s="83"/>
      <c r="X360" s="83"/>
      <c r="Y360" s="83"/>
      <c r="Z360" s="83"/>
    </row>
    <row r="361">
      <c r="T361" s="83"/>
      <c r="U361" s="83"/>
      <c r="V361" s="83"/>
      <c r="W361" s="83"/>
      <c r="X361" s="83"/>
      <c r="Y361" s="83"/>
      <c r="Z361" s="83"/>
    </row>
    <row r="362">
      <c r="T362" s="83"/>
      <c r="U362" s="83"/>
      <c r="V362" s="83"/>
      <c r="W362" s="83"/>
      <c r="X362" s="83"/>
      <c r="Y362" s="83"/>
      <c r="Z362" s="83"/>
    </row>
    <row r="363">
      <c r="T363" s="83"/>
      <c r="U363" s="83"/>
      <c r="V363" s="83"/>
      <c r="W363" s="83"/>
      <c r="X363" s="83"/>
      <c r="Y363" s="83"/>
      <c r="Z363" s="83"/>
    </row>
    <row r="364">
      <c r="T364" s="83"/>
      <c r="U364" s="83"/>
      <c r="V364" s="83"/>
      <c r="W364" s="83"/>
      <c r="X364" s="83"/>
      <c r="Y364" s="83"/>
      <c r="Z364" s="83"/>
    </row>
    <row r="365">
      <c r="T365" s="83"/>
      <c r="U365" s="83"/>
      <c r="V365" s="83"/>
      <c r="W365" s="83"/>
      <c r="X365" s="83"/>
      <c r="Y365" s="83"/>
      <c r="Z365" s="83"/>
    </row>
    <row r="366">
      <c r="T366" s="83"/>
      <c r="U366" s="83"/>
      <c r="V366" s="83"/>
      <c r="W366" s="83"/>
      <c r="X366" s="83"/>
      <c r="Y366" s="83"/>
      <c r="Z366" s="83"/>
    </row>
    <row r="367">
      <c r="T367" s="83"/>
      <c r="U367" s="83"/>
      <c r="V367" s="83"/>
      <c r="W367" s="83"/>
      <c r="X367" s="83"/>
      <c r="Y367" s="83"/>
      <c r="Z367" s="83"/>
    </row>
    <row r="368">
      <c r="T368" s="83"/>
      <c r="U368" s="83"/>
      <c r="V368" s="83"/>
      <c r="W368" s="83"/>
      <c r="X368" s="83"/>
      <c r="Y368" s="83"/>
      <c r="Z368" s="83"/>
    </row>
    <row r="369">
      <c r="T369" s="83"/>
      <c r="U369" s="83"/>
      <c r="V369" s="83"/>
      <c r="W369" s="83"/>
      <c r="X369" s="83"/>
      <c r="Y369" s="83"/>
      <c r="Z369" s="83"/>
    </row>
    <row r="370">
      <c r="T370" s="83"/>
      <c r="U370" s="83"/>
      <c r="V370" s="83"/>
      <c r="W370" s="83"/>
      <c r="X370" s="83"/>
      <c r="Y370" s="83"/>
      <c r="Z370" s="83"/>
    </row>
    <row r="371">
      <c r="T371" s="83"/>
      <c r="U371" s="83"/>
      <c r="V371" s="83"/>
      <c r="W371" s="83"/>
      <c r="X371" s="83"/>
      <c r="Y371" s="83"/>
      <c r="Z371" s="83"/>
    </row>
    <row r="372">
      <c r="T372" s="83"/>
      <c r="U372" s="83"/>
      <c r="V372" s="83"/>
      <c r="W372" s="83"/>
      <c r="X372" s="83"/>
      <c r="Y372" s="83"/>
      <c r="Z372" s="83"/>
    </row>
    <row r="373">
      <c r="T373" s="83"/>
      <c r="U373" s="83"/>
      <c r="V373" s="83"/>
      <c r="W373" s="83"/>
      <c r="X373" s="83"/>
      <c r="Y373" s="83"/>
      <c r="Z373" s="83"/>
    </row>
    <row r="374">
      <c r="T374" s="83"/>
      <c r="U374" s="83"/>
      <c r="V374" s="83"/>
      <c r="W374" s="83"/>
      <c r="X374" s="83"/>
      <c r="Y374" s="83"/>
      <c r="Z374" s="83"/>
    </row>
    <row r="375">
      <c r="T375" s="83"/>
      <c r="U375" s="83"/>
      <c r="V375" s="83"/>
      <c r="W375" s="83"/>
      <c r="X375" s="83"/>
      <c r="Y375" s="83"/>
      <c r="Z375" s="83"/>
    </row>
    <row r="376">
      <c r="T376" s="83"/>
      <c r="U376" s="83"/>
      <c r="V376" s="83"/>
      <c r="W376" s="83"/>
      <c r="X376" s="83"/>
      <c r="Y376" s="83"/>
      <c r="Z376" s="83"/>
    </row>
    <row r="377">
      <c r="T377" s="83"/>
      <c r="U377" s="83"/>
      <c r="V377" s="83"/>
      <c r="W377" s="83"/>
      <c r="X377" s="83"/>
      <c r="Y377" s="83"/>
      <c r="Z377" s="83"/>
    </row>
    <row r="378">
      <c r="T378" s="83"/>
      <c r="U378" s="83"/>
      <c r="V378" s="83"/>
      <c r="W378" s="83"/>
      <c r="X378" s="83"/>
      <c r="Y378" s="83"/>
      <c r="Z378" s="83"/>
    </row>
    <row r="379">
      <c r="T379" s="83"/>
      <c r="U379" s="83"/>
      <c r="V379" s="83"/>
      <c r="W379" s="83"/>
      <c r="X379" s="83"/>
      <c r="Y379" s="83"/>
      <c r="Z379" s="83"/>
    </row>
    <row r="380">
      <c r="T380" s="83"/>
      <c r="U380" s="83"/>
      <c r="V380" s="83"/>
      <c r="W380" s="83"/>
      <c r="X380" s="83"/>
      <c r="Y380" s="83"/>
      <c r="Z380" s="83"/>
    </row>
    <row r="381">
      <c r="T381" s="83"/>
      <c r="U381" s="83"/>
      <c r="V381" s="83"/>
      <c r="W381" s="83"/>
      <c r="X381" s="83"/>
      <c r="Y381" s="83"/>
      <c r="Z381" s="83"/>
    </row>
    <row r="382">
      <c r="T382" s="83"/>
      <c r="U382" s="83"/>
      <c r="V382" s="83"/>
      <c r="W382" s="83"/>
      <c r="X382" s="83"/>
      <c r="Y382" s="83"/>
      <c r="Z382" s="83"/>
    </row>
    <row r="383">
      <c r="T383" s="83"/>
      <c r="U383" s="83"/>
      <c r="V383" s="83"/>
      <c r="W383" s="83"/>
      <c r="X383" s="83"/>
      <c r="Y383" s="83"/>
      <c r="Z383" s="83"/>
    </row>
    <row r="384">
      <c r="T384" s="83"/>
      <c r="U384" s="83"/>
      <c r="V384" s="83"/>
      <c r="W384" s="83"/>
      <c r="X384" s="83"/>
      <c r="Y384" s="83"/>
      <c r="Z384" s="83"/>
    </row>
    <row r="385">
      <c r="T385" s="83"/>
      <c r="U385" s="83"/>
      <c r="V385" s="83"/>
      <c r="W385" s="83"/>
      <c r="X385" s="83"/>
      <c r="Y385" s="83"/>
      <c r="Z385" s="83"/>
    </row>
    <row r="386">
      <c r="T386" s="83"/>
      <c r="U386" s="83"/>
      <c r="V386" s="83"/>
      <c r="W386" s="83"/>
      <c r="X386" s="83"/>
      <c r="Y386" s="83"/>
      <c r="Z386" s="83"/>
    </row>
    <row r="387">
      <c r="T387" s="83"/>
      <c r="U387" s="83"/>
      <c r="V387" s="83"/>
      <c r="W387" s="83"/>
      <c r="X387" s="83"/>
      <c r="Y387" s="83"/>
      <c r="Z387" s="83"/>
    </row>
    <row r="388">
      <c r="T388" s="83"/>
      <c r="U388" s="83"/>
      <c r="V388" s="83"/>
      <c r="W388" s="83"/>
      <c r="X388" s="83"/>
      <c r="Y388" s="83"/>
      <c r="Z388" s="83"/>
    </row>
    <row r="389">
      <c r="T389" s="83"/>
      <c r="U389" s="83"/>
      <c r="V389" s="83"/>
      <c r="W389" s="83"/>
      <c r="X389" s="83"/>
      <c r="Y389" s="83"/>
      <c r="Z389" s="83"/>
    </row>
    <row r="390">
      <c r="T390" s="83"/>
      <c r="U390" s="83"/>
      <c r="V390" s="83"/>
      <c r="W390" s="83"/>
      <c r="X390" s="83"/>
      <c r="Y390" s="83"/>
      <c r="Z390" s="83"/>
    </row>
    <row r="391">
      <c r="T391" s="83"/>
      <c r="U391" s="83"/>
      <c r="V391" s="83"/>
      <c r="W391" s="83"/>
      <c r="X391" s="83"/>
      <c r="Y391" s="83"/>
      <c r="Z391" s="83"/>
    </row>
    <row r="392">
      <c r="T392" s="83"/>
      <c r="U392" s="83"/>
      <c r="V392" s="83"/>
      <c r="W392" s="83"/>
      <c r="X392" s="83"/>
      <c r="Y392" s="83"/>
      <c r="Z392" s="83"/>
    </row>
    <row r="393">
      <c r="T393" s="83"/>
      <c r="U393" s="83"/>
      <c r="V393" s="83"/>
      <c r="W393" s="83"/>
      <c r="X393" s="83"/>
      <c r="Y393" s="83"/>
      <c r="Z393" s="83"/>
    </row>
    <row r="394">
      <c r="T394" s="83"/>
      <c r="U394" s="83"/>
      <c r="V394" s="83"/>
      <c r="W394" s="83"/>
      <c r="X394" s="83"/>
      <c r="Y394" s="83"/>
      <c r="Z394" s="83"/>
    </row>
    <row r="395">
      <c r="T395" s="83"/>
      <c r="U395" s="83"/>
      <c r="V395" s="83"/>
      <c r="W395" s="83"/>
      <c r="X395" s="83"/>
      <c r="Y395" s="83"/>
      <c r="Z395" s="83"/>
    </row>
    <row r="396">
      <c r="T396" s="83"/>
      <c r="U396" s="83"/>
      <c r="V396" s="83"/>
      <c r="W396" s="83"/>
      <c r="X396" s="83"/>
      <c r="Y396" s="83"/>
      <c r="Z396" s="83"/>
    </row>
    <row r="397">
      <c r="T397" s="83"/>
      <c r="U397" s="83"/>
      <c r="V397" s="83"/>
      <c r="W397" s="83"/>
      <c r="X397" s="83"/>
      <c r="Y397" s="83"/>
      <c r="Z397" s="83"/>
    </row>
    <row r="398">
      <c r="T398" s="83"/>
      <c r="U398" s="83"/>
      <c r="V398" s="83"/>
      <c r="W398" s="83"/>
      <c r="X398" s="83"/>
      <c r="Y398" s="83"/>
      <c r="Z398" s="83"/>
    </row>
    <row r="399">
      <c r="T399" s="83"/>
      <c r="U399" s="83"/>
      <c r="V399" s="83"/>
      <c r="W399" s="83"/>
      <c r="X399" s="83"/>
      <c r="Y399" s="83"/>
      <c r="Z399" s="83"/>
    </row>
    <row r="400">
      <c r="T400" s="83"/>
      <c r="U400" s="83"/>
      <c r="V400" s="83"/>
      <c r="W400" s="83"/>
      <c r="X400" s="83"/>
      <c r="Y400" s="83"/>
      <c r="Z400" s="83"/>
    </row>
    <row r="401">
      <c r="T401" s="83"/>
      <c r="U401" s="83"/>
      <c r="V401" s="83"/>
      <c r="W401" s="83"/>
      <c r="X401" s="83"/>
      <c r="Y401" s="83"/>
      <c r="Z401" s="83"/>
    </row>
    <row r="402">
      <c r="T402" s="83"/>
      <c r="U402" s="83"/>
      <c r="V402" s="83"/>
      <c r="W402" s="83"/>
      <c r="X402" s="83"/>
      <c r="Y402" s="83"/>
      <c r="Z402" s="83"/>
    </row>
    <row r="403">
      <c r="T403" s="83"/>
      <c r="U403" s="83"/>
      <c r="V403" s="83"/>
      <c r="W403" s="83"/>
      <c r="X403" s="83"/>
      <c r="Y403" s="83"/>
      <c r="Z403" s="83"/>
    </row>
    <row r="404">
      <c r="T404" s="83"/>
      <c r="U404" s="83"/>
      <c r="V404" s="83"/>
      <c r="W404" s="83"/>
      <c r="X404" s="83"/>
      <c r="Y404" s="83"/>
      <c r="Z404" s="83"/>
    </row>
    <row r="405">
      <c r="T405" s="83"/>
      <c r="U405" s="83"/>
      <c r="V405" s="83"/>
      <c r="W405" s="83"/>
      <c r="X405" s="83"/>
      <c r="Y405" s="83"/>
      <c r="Z405" s="83"/>
    </row>
    <row r="406">
      <c r="T406" s="83"/>
      <c r="U406" s="83"/>
      <c r="V406" s="83"/>
      <c r="W406" s="83"/>
      <c r="X406" s="83"/>
      <c r="Y406" s="83"/>
      <c r="Z406" s="83"/>
    </row>
    <row r="407">
      <c r="T407" s="83"/>
      <c r="U407" s="83"/>
      <c r="V407" s="83"/>
      <c r="W407" s="83"/>
      <c r="X407" s="83"/>
      <c r="Y407" s="83"/>
      <c r="Z407" s="83"/>
    </row>
    <row r="408">
      <c r="T408" s="83"/>
      <c r="U408" s="83"/>
      <c r="V408" s="83"/>
      <c r="W408" s="83"/>
      <c r="X408" s="83"/>
      <c r="Y408" s="83"/>
      <c r="Z408" s="83"/>
    </row>
    <row r="409">
      <c r="T409" s="83"/>
      <c r="U409" s="83"/>
      <c r="V409" s="83"/>
      <c r="W409" s="83"/>
      <c r="X409" s="83"/>
      <c r="Y409" s="83"/>
      <c r="Z409" s="83"/>
    </row>
    <row r="410">
      <c r="T410" s="83"/>
      <c r="U410" s="83"/>
      <c r="V410" s="83"/>
      <c r="W410" s="83"/>
      <c r="X410" s="83"/>
      <c r="Y410" s="83"/>
      <c r="Z410" s="83"/>
    </row>
    <row r="411">
      <c r="T411" s="83"/>
      <c r="U411" s="83"/>
      <c r="V411" s="83"/>
      <c r="W411" s="83"/>
      <c r="X411" s="83"/>
      <c r="Y411" s="83"/>
      <c r="Z411" s="83"/>
    </row>
    <row r="412">
      <c r="T412" s="83"/>
      <c r="U412" s="83"/>
      <c r="V412" s="83"/>
      <c r="W412" s="83"/>
      <c r="X412" s="83"/>
      <c r="Y412" s="83"/>
      <c r="Z412" s="83"/>
    </row>
    <row r="413">
      <c r="T413" s="83"/>
      <c r="U413" s="83"/>
      <c r="V413" s="83"/>
      <c r="W413" s="83"/>
      <c r="X413" s="83"/>
      <c r="Y413" s="83"/>
      <c r="Z413" s="83"/>
    </row>
    <row r="414">
      <c r="T414" s="83"/>
      <c r="U414" s="83"/>
      <c r="V414" s="83"/>
      <c r="W414" s="83"/>
      <c r="X414" s="83"/>
      <c r="Y414" s="83"/>
      <c r="Z414" s="83"/>
    </row>
    <row r="415">
      <c r="T415" s="83"/>
      <c r="U415" s="83"/>
      <c r="V415" s="83"/>
      <c r="W415" s="83"/>
      <c r="X415" s="83"/>
      <c r="Y415" s="83"/>
      <c r="Z415" s="83"/>
    </row>
    <row r="416">
      <c r="T416" s="83"/>
      <c r="U416" s="83"/>
      <c r="V416" s="83"/>
      <c r="W416" s="83"/>
      <c r="X416" s="83"/>
      <c r="Y416" s="83"/>
      <c r="Z416" s="83"/>
    </row>
    <row r="417">
      <c r="T417" s="83"/>
      <c r="U417" s="83"/>
      <c r="V417" s="83"/>
      <c r="W417" s="83"/>
      <c r="X417" s="83"/>
      <c r="Y417" s="83"/>
      <c r="Z417" s="83"/>
    </row>
    <row r="418">
      <c r="T418" s="83"/>
      <c r="U418" s="83"/>
      <c r="V418" s="83"/>
      <c r="W418" s="83"/>
      <c r="X418" s="83"/>
      <c r="Y418" s="83"/>
      <c r="Z418" s="83"/>
    </row>
    <row r="419">
      <c r="T419" s="83"/>
      <c r="U419" s="83"/>
      <c r="V419" s="83"/>
      <c r="W419" s="83"/>
      <c r="X419" s="83"/>
      <c r="Y419" s="83"/>
      <c r="Z419" s="83"/>
    </row>
    <row r="420">
      <c r="T420" s="83"/>
      <c r="U420" s="83"/>
      <c r="V420" s="83"/>
      <c r="W420" s="83"/>
      <c r="X420" s="83"/>
      <c r="Y420" s="83"/>
      <c r="Z420" s="83"/>
    </row>
    <row r="421">
      <c r="T421" s="83"/>
      <c r="U421" s="83"/>
      <c r="V421" s="83"/>
      <c r="W421" s="83"/>
      <c r="X421" s="83"/>
      <c r="Y421" s="83"/>
      <c r="Z421" s="83"/>
    </row>
    <row r="422">
      <c r="T422" s="83"/>
      <c r="U422" s="83"/>
      <c r="V422" s="83"/>
      <c r="W422" s="83"/>
      <c r="X422" s="83"/>
      <c r="Y422" s="83"/>
      <c r="Z422" s="83"/>
    </row>
    <row r="423">
      <c r="T423" s="83"/>
      <c r="U423" s="83"/>
      <c r="V423" s="83"/>
      <c r="W423" s="83"/>
      <c r="X423" s="83"/>
      <c r="Y423" s="83"/>
      <c r="Z423" s="83"/>
    </row>
    <row r="424">
      <c r="T424" s="83"/>
      <c r="U424" s="83"/>
      <c r="V424" s="83"/>
      <c r="W424" s="83"/>
      <c r="X424" s="83"/>
      <c r="Y424" s="83"/>
      <c r="Z424" s="83"/>
    </row>
    <row r="425">
      <c r="T425" s="83"/>
      <c r="U425" s="83"/>
      <c r="V425" s="83"/>
      <c r="W425" s="83"/>
      <c r="X425" s="83"/>
      <c r="Y425" s="83"/>
      <c r="Z425" s="83"/>
    </row>
    <row r="426">
      <c r="T426" s="83"/>
      <c r="U426" s="83"/>
      <c r="V426" s="83"/>
      <c r="W426" s="83"/>
      <c r="X426" s="83"/>
      <c r="Y426" s="83"/>
      <c r="Z426" s="83"/>
    </row>
    <row r="427">
      <c r="T427" s="83"/>
      <c r="U427" s="83"/>
      <c r="V427" s="83"/>
      <c r="W427" s="83"/>
      <c r="X427" s="83"/>
      <c r="Y427" s="83"/>
      <c r="Z427" s="83"/>
    </row>
    <row r="428">
      <c r="T428" s="83"/>
      <c r="U428" s="83"/>
      <c r="V428" s="83"/>
      <c r="W428" s="83"/>
      <c r="X428" s="83"/>
      <c r="Y428" s="83"/>
      <c r="Z428" s="83"/>
    </row>
    <row r="429">
      <c r="T429" s="83"/>
      <c r="U429" s="83"/>
      <c r="V429" s="83"/>
      <c r="W429" s="83"/>
      <c r="X429" s="83"/>
      <c r="Y429" s="83"/>
      <c r="Z429" s="83"/>
    </row>
    <row r="430">
      <c r="T430" s="83"/>
      <c r="U430" s="83"/>
      <c r="V430" s="83"/>
      <c r="W430" s="83"/>
      <c r="X430" s="83"/>
      <c r="Y430" s="83"/>
      <c r="Z430" s="83"/>
    </row>
    <row r="431">
      <c r="T431" s="83"/>
      <c r="U431" s="83"/>
      <c r="V431" s="83"/>
      <c r="W431" s="83"/>
      <c r="X431" s="83"/>
      <c r="Y431" s="83"/>
      <c r="Z431" s="83"/>
    </row>
    <row r="432">
      <c r="T432" s="83"/>
      <c r="U432" s="83"/>
      <c r="V432" s="83"/>
      <c r="W432" s="83"/>
      <c r="X432" s="83"/>
      <c r="Y432" s="83"/>
      <c r="Z432" s="83"/>
    </row>
    <row r="433">
      <c r="T433" s="83"/>
      <c r="U433" s="83"/>
      <c r="V433" s="83"/>
      <c r="W433" s="83"/>
      <c r="X433" s="83"/>
      <c r="Y433" s="83"/>
      <c r="Z433" s="83"/>
    </row>
    <row r="434">
      <c r="T434" s="83"/>
      <c r="U434" s="83"/>
      <c r="V434" s="83"/>
      <c r="W434" s="83"/>
      <c r="X434" s="83"/>
      <c r="Y434" s="83"/>
      <c r="Z434" s="83"/>
    </row>
    <row r="435">
      <c r="T435" s="83"/>
      <c r="U435" s="83"/>
      <c r="V435" s="83"/>
      <c r="W435" s="83"/>
      <c r="X435" s="83"/>
      <c r="Y435" s="83"/>
      <c r="Z435" s="83"/>
    </row>
    <row r="436">
      <c r="T436" s="83"/>
      <c r="U436" s="83"/>
      <c r="V436" s="83"/>
      <c r="W436" s="83"/>
      <c r="X436" s="83"/>
      <c r="Y436" s="83"/>
      <c r="Z436" s="83"/>
    </row>
    <row r="437">
      <c r="T437" s="83"/>
      <c r="U437" s="83"/>
      <c r="V437" s="83"/>
      <c r="W437" s="83"/>
      <c r="X437" s="83"/>
      <c r="Y437" s="83"/>
      <c r="Z437" s="83"/>
    </row>
    <row r="438">
      <c r="T438" s="83"/>
      <c r="U438" s="83"/>
      <c r="V438" s="83"/>
      <c r="W438" s="83"/>
      <c r="X438" s="83"/>
      <c r="Y438" s="83"/>
      <c r="Z438" s="83"/>
    </row>
    <row r="439">
      <c r="T439" s="83"/>
      <c r="U439" s="83"/>
      <c r="V439" s="83"/>
      <c r="W439" s="83"/>
      <c r="X439" s="83"/>
      <c r="Y439" s="83"/>
      <c r="Z439" s="83"/>
    </row>
    <row r="440">
      <c r="T440" s="83"/>
      <c r="U440" s="83"/>
      <c r="V440" s="83"/>
      <c r="W440" s="83"/>
      <c r="X440" s="83"/>
      <c r="Y440" s="83"/>
      <c r="Z440" s="83"/>
    </row>
    <row r="441">
      <c r="T441" s="83"/>
      <c r="U441" s="83"/>
      <c r="V441" s="83"/>
      <c r="W441" s="83"/>
      <c r="X441" s="83"/>
      <c r="Y441" s="83"/>
      <c r="Z441" s="83"/>
    </row>
    <row r="442">
      <c r="T442" s="83"/>
      <c r="U442" s="83"/>
      <c r="V442" s="83"/>
      <c r="W442" s="83"/>
      <c r="X442" s="83"/>
      <c r="Y442" s="83"/>
      <c r="Z442" s="83"/>
    </row>
    <row r="443">
      <c r="T443" s="83"/>
      <c r="U443" s="83"/>
      <c r="V443" s="83"/>
      <c r="W443" s="83"/>
      <c r="X443" s="83"/>
      <c r="Y443" s="83"/>
      <c r="Z443" s="83"/>
    </row>
    <row r="444">
      <c r="T444" s="83"/>
      <c r="U444" s="83"/>
      <c r="V444" s="83"/>
      <c r="W444" s="83"/>
      <c r="X444" s="83"/>
      <c r="Y444" s="83"/>
      <c r="Z444" s="83"/>
    </row>
    <row r="445">
      <c r="T445" s="83"/>
      <c r="U445" s="83"/>
      <c r="V445" s="83"/>
      <c r="W445" s="83"/>
      <c r="X445" s="83"/>
      <c r="Y445" s="83"/>
      <c r="Z445" s="83"/>
    </row>
    <row r="446">
      <c r="T446" s="83"/>
      <c r="U446" s="83"/>
      <c r="V446" s="83"/>
      <c r="W446" s="83"/>
      <c r="X446" s="83"/>
      <c r="Y446" s="83"/>
      <c r="Z446" s="83"/>
    </row>
    <row r="447">
      <c r="T447" s="83"/>
      <c r="U447" s="83"/>
      <c r="V447" s="83"/>
      <c r="W447" s="83"/>
      <c r="X447" s="83"/>
      <c r="Y447" s="83"/>
      <c r="Z447" s="83"/>
    </row>
    <row r="448">
      <c r="T448" s="83"/>
      <c r="U448" s="83"/>
      <c r="V448" s="83"/>
      <c r="W448" s="83"/>
      <c r="X448" s="83"/>
      <c r="Y448" s="83"/>
      <c r="Z448" s="83"/>
    </row>
    <row r="449">
      <c r="T449" s="83"/>
      <c r="U449" s="83"/>
      <c r="V449" s="83"/>
      <c r="W449" s="83"/>
      <c r="X449" s="83"/>
      <c r="Y449" s="83"/>
      <c r="Z449" s="83"/>
    </row>
    <row r="450">
      <c r="T450" s="83"/>
      <c r="U450" s="83"/>
      <c r="V450" s="83"/>
      <c r="W450" s="83"/>
      <c r="X450" s="83"/>
      <c r="Y450" s="83"/>
      <c r="Z450" s="83"/>
    </row>
    <row r="451">
      <c r="T451" s="83"/>
      <c r="U451" s="83"/>
      <c r="V451" s="83"/>
      <c r="W451" s="83"/>
      <c r="X451" s="83"/>
      <c r="Y451" s="83"/>
      <c r="Z451" s="83"/>
    </row>
    <row r="452">
      <c r="T452" s="83"/>
      <c r="U452" s="83"/>
      <c r="V452" s="83"/>
      <c r="W452" s="83"/>
      <c r="X452" s="83"/>
      <c r="Y452" s="83"/>
      <c r="Z452" s="83"/>
    </row>
    <row r="453">
      <c r="T453" s="83"/>
      <c r="U453" s="83"/>
      <c r="V453" s="83"/>
      <c r="W453" s="83"/>
      <c r="X453" s="83"/>
      <c r="Y453" s="83"/>
      <c r="Z453" s="83"/>
    </row>
    <row r="454">
      <c r="T454" s="83"/>
      <c r="U454" s="83"/>
      <c r="V454" s="83"/>
      <c r="W454" s="83"/>
      <c r="X454" s="83"/>
      <c r="Y454" s="83"/>
      <c r="Z454" s="83"/>
    </row>
    <row r="455">
      <c r="T455" s="83"/>
      <c r="U455" s="83"/>
      <c r="V455" s="83"/>
      <c r="W455" s="83"/>
      <c r="X455" s="83"/>
      <c r="Y455" s="83"/>
      <c r="Z455" s="83"/>
    </row>
    <row r="456">
      <c r="T456" s="83"/>
      <c r="U456" s="83"/>
      <c r="V456" s="83"/>
      <c r="W456" s="83"/>
      <c r="X456" s="83"/>
      <c r="Y456" s="83"/>
      <c r="Z456" s="83"/>
    </row>
    <row r="457">
      <c r="T457" s="83"/>
      <c r="U457" s="83"/>
      <c r="V457" s="83"/>
      <c r="W457" s="83"/>
      <c r="X457" s="83"/>
      <c r="Y457" s="83"/>
      <c r="Z457" s="83"/>
    </row>
    <row r="458">
      <c r="T458" s="83"/>
      <c r="U458" s="83"/>
      <c r="V458" s="83"/>
      <c r="W458" s="83"/>
      <c r="X458" s="83"/>
      <c r="Y458" s="83"/>
      <c r="Z458" s="83"/>
    </row>
    <row r="459">
      <c r="T459" s="83"/>
      <c r="U459" s="83"/>
      <c r="V459" s="83"/>
      <c r="W459" s="83"/>
      <c r="X459" s="83"/>
      <c r="Y459" s="83"/>
      <c r="Z459" s="83"/>
    </row>
    <row r="460">
      <c r="T460" s="83"/>
      <c r="U460" s="83"/>
      <c r="V460" s="83"/>
      <c r="W460" s="83"/>
      <c r="X460" s="83"/>
      <c r="Y460" s="83"/>
      <c r="Z460" s="83"/>
    </row>
    <row r="461">
      <c r="T461" s="83"/>
      <c r="U461" s="83"/>
      <c r="V461" s="83"/>
      <c r="W461" s="83"/>
      <c r="X461" s="83"/>
      <c r="Y461" s="83"/>
      <c r="Z461" s="83"/>
    </row>
    <row r="462">
      <c r="T462" s="83"/>
      <c r="U462" s="83"/>
      <c r="V462" s="83"/>
      <c r="W462" s="83"/>
      <c r="X462" s="83"/>
      <c r="Y462" s="83"/>
      <c r="Z462" s="83"/>
    </row>
    <row r="463">
      <c r="T463" s="83"/>
      <c r="U463" s="83"/>
      <c r="V463" s="83"/>
      <c r="W463" s="83"/>
      <c r="X463" s="83"/>
      <c r="Y463" s="83"/>
      <c r="Z463" s="83"/>
    </row>
    <row r="464">
      <c r="T464" s="83"/>
      <c r="U464" s="83"/>
      <c r="V464" s="83"/>
      <c r="W464" s="83"/>
      <c r="X464" s="83"/>
      <c r="Y464" s="83"/>
      <c r="Z464" s="83"/>
    </row>
    <row r="465">
      <c r="T465" s="83"/>
      <c r="U465" s="83"/>
      <c r="V465" s="83"/>
      <c r="W465" s="83"/>
      <c r="X465" s="83"/>
      <c r="Y465" s="83"/>
      <c r="Z465" s="83"/>
    </row>
    <row r="466">
      <c r="T466" s="83"/>
      <c r="U466" s="83"/>
      <c r="V466" s="83"/>
      <c r="W466" s="83"/>
      <c r="X466" s="83"/>
      <c r="Y466" s="83"/>
      <c r="Z466" s="83"/>
    </row>
    <row r="467">
      <c r="T467" s="83"/>
      <c r="U467" s="83"/>
      <c r="V467" s="83"/>
      <c r="W467" s="83"/>
      <c r="X467" s="83"/>
      <c r="Y467" s="83"/>
      <c r="Z467" s="83"/>
    </row>
    <row r="468">
      <c r="T468" s="83"/>
      <c r="U468" s="83"/>
      <c r="V468" s="83"/>
      <c r="W468" s="83"/>
      <c r="X468" s="83"/>
      <c r="Y468" s="83"/>
      <c r="Z468" s="83"/>
    </row>
    <row r="469">
      <c r="T469" s="83"/>
      <c r="U469" s="83"/>
      <c r="V469" s="83"/>
      <c r="W469" s="83"/>
      <c r="X469" s="83"/>
      <c r="Y469" s="83"/>
      <c r="Z469" s="83"/>
    </row>
    <row r="470">
      <c r="T470" s="83"/>
      <c r="U470" s="83"/>
      <c r="V470" s="83"/>
      <c r="W470" s="83"/>
      <c r="X470" s="83"/>
      <c r="Y470" s="83"/>
      <c r="Z470" s="83"/>
    </row>
    <row r="471">
      <c r="T471" s="83"/>
      <c r="U471" s="83"/>
      <c r="V471" s="83"/>
      <c r="W471" s="83"/>
      <c r="X471" s="83"/>
      <c r="Y471" s="83"/>
      <c r="Z471" s="83"/>
    </row>
    <row r="472">
      <c r="T472" s="83"/>
      <c r="U472" s="83"/>
      <c r="V472" s="83"/>
      <c r="W472" s="83"/>
      <c r="X472" s="83"/>
      <c r="Y472" s="83"/>
      <c r="Z472" s="83"/>
    </row>
    <row r="473">
      <c r="T473" s="83"/>
      <c r="U473" s="83"/>
      <c r="V473" s="83"/>
      <c r="W473" s="83"/>
      <c r="X473" s="83"/>
      <c r="Y473" s="83"/>
      <c r="Z473" s="83"/>
    </row>
    <row r="474">
      <c r="T474" s="83"/>
      <c r="U474" s="83"/>
      <c r="V474" s="83"/>
      <c r="W474" s="83"/>
      <c r="X474" s="83"/>
      <c r="Y474" s="83"/>
      <c r="Z474" s="83"/>
    </row>
    <row r="475">
      <c r="T475" s="83"/>
      <c r="U475" s="83"/>
      <c r="V475" s="83"/>
      <c r="W475" s="83"/>
      <c r="X475" s="83"/>
      <c r="Y475" s="83"/>
      <c r="Z475" s="83"/>
    </row>
    <row r="476">
      <c r="T476" s="83"/>
      <c r="U476" s="83"/>
      <c r="V476" s="83"/>
      <c r="W476" s="83"/>
      <c r="X476" s="83"/>
      <c r="Y476" s="83"/>
      <c r="Z476" s="83"/>
    </row>
    <row r="477">
      <c r="T477" s="83"/>
      <c r="U477" s="83"/>
      <c r="V477" s="83"/>
      <c r="W477" s="83"/>
      <c r="X477" s="83"/>
      <c r="Y477" s="83"/>
      <c r="Z477" s="83"/>
    </row>
    <row r="478">
      <c r="T478" s="83"/>
      <c r="U478" s="83"/>
      <c r="V478" s="83"/>
      <c r="W478" s="83"/>
      <c r="X478" s="83"/>
      <c r="Y478" s="83"/>
      <c r="Z478" s="83"/>
    </row>
    <row r="479">
      <c r="T479" s="83"/>
      <c r="U479" s="83"/>
      <c r="V479" s="83"/>
      <c r="W479" s="83"/>
      <c r="X479" s="83"/>
      <c r="Y479" s="83"/>
      <c r="Z479" s="83"/>
    </row>
    <row r="480">
      <c r="T480" s="83"/>
      <c r="U480" s="83"/>
      <c r="V480" s="83"/>
      <c r="W480" s="83"/>
      <c r="X480" s="83"/>
      <c r="Y480" s="83"/>
      <c r="Z480" s="83"/>
    </row>
    <row r="481">
      <c r="T481" s="83"/>
      <c r="U481" s="83"/>
      <c r="V481" s="83"/>
      <c r="W481" s="83"/>
      <c r="X481" s="83"/>
      <c r="Y481" s="83"/>
      <c r="Z481" s="83"/>
    </row>
    <row r="482">
      <c r="T482" s="83"/>
      <c r="U482" s="83"/>
      <c r="V482" s="83"/>
      <c r="W482" s="83"/>
      <c r="X482" s="83"/>
      <c r="Y482" s="83"/>
      <c r="Z482" s="83"/>
    </row>
    <row r="483">
      <c r="T483" s="83"/>
      <c r="U483" s="83"/>
      <c r="V483" s="83"/>
      <c r="W483" s="83"/>
      <c r="X483" s="83"/>
      <c r="Y483" s="83"/>
      <c r="Z483" s="83"/>
    </row>
    <row r="484">
      <c r="T484" s="83"/>
      <c r="U484" s="83"/>
      <c r="V484" s="83"/>
      <c r="W484" s="83"/>
      <c r="X484" s="83"/>
      <c r="Y484" s="83"/>
      <c r="Z484" s="83"/>
    </row>
    <row r="485">
      <c r="T485" s="83"/>
      <c r="U485" s="83"/>
      <c r="V485" s="83"/>
      <c r="W485" s="83"/>
      <c r="X485" s="83"/>
      <c r="Y485" s="83"/>
      <c r="Z485" s="83"/>
    </row>
    <row r="486">
      <c r="T486" s="83"/>
      <c r="U486" s="83"/>
      <c r="V486" s="83"/>
      <c r="W486" s="83"/>
      <c r="X486" s="83"/>
      <c r="Y486" s="83"/>
      <c r="Z486" s="83"/>
    </row>
    <row r="487">
      <c r="T487" s="83"/>
      <c r="U487" s="83"/>
      <c r="V487" s="83"/>
      <c r="W487" s="83"/>
      <c r="X487" s="83"/>
      <c r="Y487" s="83"/>
      <c r="Z487" s="83"/>
    </row>
    <row r="488">
      <c r="T488" s="83"/>
      <c r="U488" s="83"/>
      <c r="V488" s="83"/>
      <c r="W488" s="83"/>
      <c r="X488" s="83"/>
      <c r="Y488" s="83"/>
      <c r="Z488" s="83"/>
    </row>
    <row r="489">
      <c r="T489" s="83"/>
      <c r="U489" s="83"/>
      <c r="V489" s="83"/>
      <c r="W489" s="83"/>
      <c r="X489" s="83"/>
      <c r="Y489" s="83"/>
      <c r="Z489" s="83"/>
    </row>
    <row r="490">
      <c r="T490" s="83"/>
      <c r="U490" s="83"/>
      <c r="V490" s="83"/>
      <c r="W490" s="83"/>
      <c r="X490" s="83"/>
      <c r="Y490" s="83"/>
      <c r="Z490" s="83"/>
    </row>
    <row r="491">
      <c r="T491" s="83"/>
      <c r="U491" s="83"/>
      <c r="V491" s="83"/>
      <c r="W491" s="83"/>
      <c r="X491" s="83"/>
      <c r="Y491" s="83"/>
      <c r="Z491" s="83"/>
    </row>
    <row r="492">
      <c r="T492" s="83"/>
      <c r="U492" s="83"/>
      <c r="V492" s="83"/>
      <c r="W492" s="83"/>
      <c r="X492" s="83"/>
      <c r="Y492" s="83"/>
      <c r="Z492" s="83"/>
    </row>
    <row r="493">
      <c r="T493" s="83"/>
      <c r="U493" s="83"/>
      <c r="V493" s="83"/>
      <c r="W493" s="83"/>
      <c r="X493" s="83"/>
      <c r="Y493" s="83"/>
      <c r="Z493" s="83"/>
    </row>
    <row r="494">
      <c r="T494" s="83"/>
      <c r="U494" s="83"/>
      <c r="V494" s="83"/>
      <c r="W494" s="83"/>
      <c r="X494" s="83"/>
      <c r="Y494" s="83"/>
      <c r="Z494" s="83"/>
    </row>
    <row r="495">
      <c r="T495" s="83"/>
      <c r="U495" s="83"/>
      <c r="V495" s="83"/>
      <c r="W495" s="83"/>
      <c r="X495" s="83"/>
      <c r="Y495" s="83"/>
      <c r="Z495" s="83"/>
    </row>
    <row r="496">
      <c r="T496" s="83"/>
      <c r="U496" s="83"/>
      <c r="V496" s="83"/>
      <c r="W496" s="83"/>
      <c r="X496" s="83"/>
      <c r="Y496" s="83"/>
      <c r="Z496" s="83"/>
    </row>
    <row r="497">
      <c r="T497" s="83"/>
      <c r="U497" s="83"/>
      <c r="V497" s="83"/>
      <c r="W497" s="83"/>
      <c r="X497" s="83"/>
      <c r="Y497" s="83"/>
      <c r="Z497" s="83"/>
    </row>
    <row r="498">
      <c r="T498" s="83"/>
      <c r="U498" s="83"/>
      <c r="V498" s="83"/>
      <c r="W498" s="83"/>
      <c r="X498" s="83"/>
      <c r="Y498" s="83"/>
      <c r="Z498" s="83"/>
    </row>
    <row r="499">
      <c r="T499" s="83"/>
      <c r="U499" s="83"/>
      <c r="V499" s="83"/>
      <c r="W499" s="83"/>
      <c r="X499" s="83"/>
      <c r="Y499" s="83"/>
      <c r="Z499" s="83"/>
    </row>
    <row r="500">
      <c r="T500" s="83"/>
      <c r="U500" s="83"/>
      <c r="V500" s="83"/>
      <c r="W500" s="83"/>
      <c r="X500" s="83"/>
      <c r="Y500" s="83"/>
      <c r="Z500" s="83"/>
    </row>
    <row r="501">
      <c r="T501" s="83"/>
      <c r="U501" s="83"/>
      <c r="V501" s="83"/>
      <c r="W501" s="83"/>
      <c r="X501" s="83"/>
      <c r="Y501" s="83"/>
      <c r="Z501" s="83"/>
    </row>
    <row r="502">
      <c r="T502" s="83"/>
      <c r="U502" s="83"/>
      <c r="V502" s="83"/>
      <c r="W502" s="83"/>
      <c r="X502" s="83"/>
      <c r="Y502" s="83"/>
      <c r="Z502" s="83"/>
    </row>
    <row r="503">
      <c r="T503" s="83"/>
      <c r="U503" s="83"/>
      <c r="V503" s="83"/>
      <c r="W503" s="83"/>
      <c r="X503" s="83"/>
      <c r="Y503" s="83"/>
      <c r="Z503" s="83"/>
    </row>
    <row r="504">
      <c r="T504" s="83"/>
      <c r="U504" s="83"/>
      <c r="V504" s="83"/>
      <c r="W504" s="83"/>
      <c r="X504" s="83"/>
      <c r="Y504" s="83"/>
      <c r="Z504" s="83"/>
    </row>
    <row r="505">
      <c r="T505" s="83"/>
      <c r="U505" s="83"/>
      <c r="V505" s="83"/>
      <c r="W505" s="83"/>
      <c r="X505" s="83"/>
      <c r="Y505" s="83"/>
      <c r="Z505" s="83"/>
    </row>
    <row r="506">
      <c r="T506" s="83"/>
      <c r="U506" s="83"/>
      <c r="V506" s="83"/>
      <c r="W506" s="83"/>
      <c r="X506" s="83"/>
      <c r="Y506" s="83"/>
      <c r="Z506" s="83"/>
    </row>
    <row r="507">
      <c r="T507" s="83"/>
      <c r="U507" s="83"/>
      <c r="V507" s="83"/>
      <c r="W507" s="83"/>
      <c r="X507" s="83"/>
      <c r="Y507" s="83"/>
      <c r="Z507" s="83"/>
    </row>
    <row r="508">
      <c r="T508" s="83"/>
      <c r="U508" s="83"/>
      <c r="V508" s="83"/>
      <c r="W508" s="83"/>
      <c r="X508" s="83"/>
      <c r="Y508" s="83"/>
      <c r="Z508" s="83"/>
    </row>
    <row r="509">
      <c r="T509" s="83"/>
      <c r="U509" s="83"/>
      <c r="V509" s="83"/>
      <c r="W509" s="83"/>
      <c r="X509" s="83"/>
      <c r="Y509" s="83"/>
      <c r="Z509" s="83"/>
    </row>
    <row r="510">
      <c r="T510" s="83"/>
      <c r="U510" s="83"/>
      <c r="V510" s="83"/>
      <c r="W510" s="83"/>
      <c r="X510" s="83"/>
      <c r="Y510" s="83"/>
      <c r="Z510" s="83"/>
    </row>
    <row r="511">
      <c r="T511" s="83"/>
      <c r="U511" s="83"/>
      <c r="V511" s="83"/>
      <c r="W511" s="83"/>
      <c r="X511" s="83"/>
      <c r="Y511" s="83"/>
      <c r="Z511" s="83"/>
    </row>
    <row r="512">
      <c r="T512" s="83"/>
      <c r="U512" s="83"/>
      <c r="V512" s="83"/>
      <c r="W512" s="83"/>
      <c r="X512" s="83"/>
      <c r="Y512" s="83"/>
      <c r="Z512" s="83"/>
    </row>
    <row r="513">
      <c r="T513" s="83"/>
      <c r="U513" s="83"/>
      <c r="V513" s="83"/>
      <c r="W513" s="83"/>
      <c r="X513" s="83"/>
      <c r="Y513" s="83"/>
      <c r="Z513" s="83"/>
    </row>
    <row r="514">
      <c r="T514" s="83"/>
      <c r="U514" s="83"/>
      <c r="V514" s="83"/>
      <c r="W514" s="83"/>
      <c r="X514" s="83"/>
      <c r="Y514" s="83"/>
      <c r="Z514" s="83"/>
    </row>
    <row r="515">
      <c r="T515" s="83"/>
      <c r="U515" s="83"/>
      <c r="V515" s="83"/>
      <c r="W515" s="83"/>
      <c r="X515" s="83"/>
      <c r="Y515" s="83"/>
      <c r="Z515" s="83"/>
    </row>
    <row r="516">
      <c r="T516" s="83"/>
      <c r="U516" s="83"/>
      <c r="V516" s="83"/>
      <c r="W516" s="83"/>
      <c r="X516" s="83"/>
      <c r="Y516" s="83"/>
      <c r="Z516" s="83"/>
    </row>
    <row r="517">
      <c r="T517" s="83"/>
      <c r="U517" s="83"/>
      <c r="V517" s="83"/>
      <c r="W517" s="83"/>
      <c r="X517" s="83"/>
      <c r="Y517" s="83"/>
      <c r="Z517" s="83"/>
    </row>
    <row r="518">
      <c r="T518" s="83"/>
      <c r="U518" s="83"/>
      <c r="V518" s="83"/>
      <c r="W518" s="83"/>
      <c r="X518" s="83"/>
      <c r="Y518" s="83"/>
      <c r="Z518" s="83"/>
    </row>
    <row r="519">
      <c r="T519" s="83"/>
      <c r="U519" s="83"/>
      <c r="V519" s="83"/>
      <c r="W519" s="83"/>
      <c r="X519" s="83"/>
      <c r="Y519" s="83"/>
      <c r="Z519" s="83"/>
    </row>
    <row r="520">
      <c r="T520" s="83"/>
      <c r="U520" s="83"/>
      <c r="V520" s="83"/>
      <c r="W520" s="83"/>
      <c r="X520" s="83"/>
      <c r="Y520" s="83"/>
      <c r="Z520" s="83"/>
    </row>
    <row r="521">
      <c r="T521" s="83"/>
      <c r="U521" s="83"/>
      <c r="V521" s="83"/>
      <c r="W521" s="83"/>
      <c r="X521" s="83"/>
      <c r="Y521" s="83"/>
      <c r="Z521" s="83"/>
    </row>
    <row r="522">
      <c r="T522" s="83"/>
      <c r="U522" s="83"/>
      <c r="V522" s="83"/>
      <c r="W522" s="83"/>
      <c r="X522" s="83"/>
      <c r="Y522" s="83"/>
      <c r="Z522" s="83"/>
    </row>
    <row r="523">
      <c r="T523" s="83"/>
      <c r="U523" s="83"/>
      <c r="V523" s="83"/>
      <c r="W523" s="83"/>
      <c r="X523" s="83"/>
      <c r="Y523" s="83"/>
      <c r="Z523" s="83"/>
    </row>
    <row r="524">
      <c r="T524" s="83"/>
      <c r="U524" s="83"/>
      <c r="V524" s="83"/>
      <c r="W524" s="83"/>
      <c r="X524" s="83"/>
      <c r="Y524" s="83"/>
      <c r="Z524" s="83"/>
    </row>
    <row r="525">
      <c r="T525" s="83"/>
      <c r="U525" s="83"/>
      <c r="V525" s="83"/>
      <c r="W525" s="83"/>
      <c r="X525" s="83"/>
      <c r="Y525" s="83"/>
      <c r="Z525" s="83"/>
    </row>
    <row r="526">
      <c r="T526" s="83"/>
      <c r="U526" s="83"/>
      <c r="V526" s="83"/>
      <c r="W526" s="83"/>
      <c r="X526" s="83"/>
      <c r="Y526" s="83"/>
      <c r="Z526" s="83"/>
    </row>
    <row r="527">
      <c r="T527" s="83"/>
      <c r="U527" s="83"/>
      <c r="V527" s="83"/>
      <c r="W527" s="83"/>
      <c r="X527" s="83"/>
      <c r="Y527" s="83"/>
      <c r="Z527" s="83"/>
    </row>
    <row r="528">
      <c r="T528" s="83"/>
      <c r="U528" s="83"/>
      <c r="V528" s="83"/>
      <c r="W528" s="83"/>
      <c r="X528" s="83"/>
      <c r="Y528" s="83"/>
      <c r="Z528" s="83"/>
    </row>
    <row r="529">
      <c r="T529" s="83"/>
      <c r="U529" s="83"/>
      <c r="V529" s="83"/>
      <c r="W529" s="83"/>
      <c r="X529" s="83"/>
      <c r="Y529" s="83"/>
      <c r="Z529" s="83"/>
    </row>
    <row r="530">
      <c r="T530" s="83"/>
      <c r="U530" s="83"/>
      <c r="V530" s="83"/>
      <c r="W530" s="83"/>
      <c r="X530" s="83"/>
      <c r="Y530" s="83"/>
      <c r="Z530" s="83"/>
    </row>
    <row r="531">
      <c r="T531" s="83"/>
      <c r="U531" s="83"/>
      <c r="V531" s="83"/>
      <c r="W531" s="83"/>
      <c r="X531" s="83"/>
      <c r="Y531" s="83"/>
      <c r="Z531" s="83"/>
    </row>
    <row r="532">
      <c r="T532" s="83"/>
      <c r="U532" s="83"/>
      <c r="V532" s="83"/>
      <c r="W532" s="83"/>
      <c r="X532" s="83"/>
      <c r="Y532" s="83"/>
      <c r="Z532" s="83"/>
    </row>
    <row r="533">
      <c r="T533" s="83"/>
      <c r="U533" s="83"/>
      <c r="V533" s="83"/>
      <c r="W533" s="83"/>
      <c r="X533" s="83"/>
      <c r="Y533" s="83"/>
      <c r="Z533" s="83"/>
    </row>
    <row r="534">
      <c r="T534" s="83"/>
      <c r="U534" s="83"/>
      <c r="V534" s="83"/>
      <c r="W534" s="83"/>
      <c r="X534" s="83"/>
      <c r="Y534" s="83"/>
      <c r="Z534" s="83"/>
    </row>
    <row r="535">
      <c r="T535" s="83"/>
      <c r="U535" s="83"/>
      <c r="V535" s="83"/>
      <c r="W535" s="83"/>
      <c r="X535" s="83"/>
      <c r="Y535" s="83"/>
      <c r="Z535" s="83"/>
    </row>
    <row r="536">
      <c r="T536" s="83"/>
      <c r="U536" s="83"/>
      <c r="V536" s="83"/>
      <c r="W536" s="83"/>
      <c r="X536" s="83"/>
      <c r="Y536" s="83"/>
      <c r="Z536" s="83"/>
    </row>
    <row r="537">
      <c r="T537" s="83"/>
      <c r="U537" s="83"/>
      <c r="V537" s="83"/>
      <c r="W537" s="83"/>
      <c r="X537" s="83"/>
      <c r="Y537" s="83"/>
      <c r="Z537" s="83"/>
    </row>
    <row r="538">
      <c r="T538" s="83"/>
      <c r="U538" s="83"/>
      <c r="V538" s="83"/>
      <c r="W538" s="83"/>
      <c r="X538" s="83"/>
      <c r="Y538" s="83"/>
      <c r="Z538" s="83"/>
    </row>
    <row r="539">
      <c r="T539" s="83"/>
      <c r="U539" s="83"/>
      <c r="V539" s="83"/>
      <c r="W539" s="83"/>
      <c r="X539" s="83"/>
      <c r="Y539" s="83"/>
      <c r="Z539" s="83"/>
    </row>
    <row r="540">
      <c r="T540" s="83"/>
      <c r="U540" s="83"/>
      <c r="V540" s="83"/>
      <c r="W540" s="83"/>
      <c r="X540" s="83"/>
      <c r="Y540" s="83"/>
      <c r="Z540" s="83"/>
    </row>
    <row r="541">
      <c r="T541" s="83"/>
      <c r="U541" s="83"/>
      <c r="V541" s="83"/>
      <c r="W541" s="83"/>
      <c r="X541" s="83"/>
      <c r="Y541" s="83"/>
      <c r="Z541" s="83"/>
    </row>
    <row r="542">
      <c r="T542" s="83"/>
      <c r="U542" s="83"/>
      <c r="V542" s="83"/>
      <c r="W542" s="83"/>
      <c r="X542" s="83"/>
      <c r="Y542" s="83"/>
      <c r="Z542" s="83"/>
    </row>
    <row r="543">
      <c r="T543" s="83"/>
      <c r="U543" s="83"/>
      <c r="V543" s="83"/>
      <c r="W543" s="83"/>
      <c r="X543" s="83"/>
      <c r="Y543" s="83"/>
      <c r="Z543" s="83"/>
    </row>
    <row r="544">
      <c r="T544" s="83"/>
      <c r="U544" s="83"/>
      <c r="V544" s="83"/>
      <c r="W544" s="83"/>
      <c r="X544" s="83"/>
      <c r="Y544" s="83"/>
      <c r="Z544" s="83"/>
    </row>
    <row r="545">
      <c r="T545" s="83"/>
      <c r="U545" s="83"/>
      <c r="V545" s="83"/>
      <c r="W545" s="83"/>
      <c r="X545" s="83"/>
      <c r="Y545" s="83"/>
      <c r="Z545" s="83"/>
    </row>
    <row r="546">
      <c r="T546" s="83"/>
      <c r="U546" s="83"/>
      <c r="V546" s="83"/>
      <c r="W546" s="83"/>
      <c r="X546" s="83"/>
      <c r="Y546" s="83"/>
      <c r="Z546" s="83"/>
    </row>
    <row r="547">
      <c r="T547" s="83"/>
      <c r="U547" s="83"/>
      <c r="V547" s="83"/>
      <c r="W547" s="83"/>
      <c r="X547" s="83"/>
      <c r="Y547" s="83"/>
      <c r="Z547" s="83"/>
    </row>
    <row r="548">
      <c r="T548" s="83"/>
      <c r="U548" s="83"/>
      <c r="V548" s="83"/>
      <c r="W548" s="83"/>
      <c r="X548" s="83"/>
      <c r="Y548" s="83"/>
      <c r="Z548" s="83"/>
    </row>
    <row r="549">
      <c r="T549" s="83"/>
      <c r="U549" s="83"/>
      <c r="V549" s="83"/>
      <c r="W549" s="83"/>
      <c r="X549" s="83"/>
      <c r="Y549" s="83"/>
      <c r="Z549" s="83"/>
    </row>
    <row r="550">
      <c r="T550" s="83"/>
      <c r="U550" s="83"/>
      <c r="V550" s="83"/>
      <c r="W550" s="83"/>
      <c r="X550" s="83"/>
      <c r="Y550" s="83"/>
      <c r="Z550" s="83"/>
    </row>
    <row r="551">
      <c r="T551" s="83"/>
      <c r="U551" s="83"/>
      <c r="V551" s="83"/>
      <c r="W551" s="83"/>
      <c r="X551" s="83"/>
      <c r="Y551" s="83"/>
      <c r="Z551" s="83"/>
    </row>
    <row r="552">
      <c r="T552" s="83"/>
      <c r="U552" s="83"/>
      <c r="V552" s="83"/>
      <c r="W552" s="83"/>
      <c r="X552" s="83"/>
      <c r="Y552" s="83"/>
      <c r="Z552" s="83"/>
    </row>
    <row r="553">
      <c r="T553" s="83"/>
      <c r="U553" s="83"/>
      <c r="V553" s="83"/>
      <c r="W553" s="83"/>
      <c r="X553" s="83"/>
      <c r="Y553" s="83"/>
      <c r="Z553" s="83"/>
    </row>
    <row r="554">
      <c r="T554" s="83"/>
      <c r="U554" s="83"/>
      <c r="V554" s="83"/>
      <c r="W554" s="83"/>
      <c r="X554" s="83"/>
      <c r="Y554" s="83"/>
      <c r="Z554" s="83"/>
    </row>
    <row r="555">
      <c r="T555" s="83"/>
      <c r="U555" s="83"/>
      <c r="V555" s="83"/>
      <c r="W555" s="83"/>
      <c r="X555" s="83"/>
      <c r="Y555" s="83"/>
      <c r="Z555" s="83"/>
    </row>
    <row r="556">
      <c r="T556" s="83"/>
      <c r="U556" s="83"/>
      <c r="V556" s="83"/>
      <c r="W556" s="83"/>
      <c r="X556" s="83"/>
      <c r="Y556" s="83"/>
      <c r="Z556" s="83"/>
    </row>
    <row r="557">
      <c r="T557" s="83"/>
      <c r="U557" s="83"/>
      <c r="V557" s="83"/>
      <c r="W557" s="83"/>
      <c r="X557" s="83"/>
      <c r="Y557" s="83"/>
      <c r="Z557" s="83"/>
    </row>
    <row r="558">
      <c r="T558" s="83"/>
      <c r="U558" s="83"/>
      <c r="V558" s="83"/>
      <c r="W558" s="83"/>
      <c r="X558" s="83"/>
      <c r="Y558" s="83"/>
      <c r="Z558" s="83"/>
    </row>
    <row r="559">
      <c r="T559" s="83"/>
      <c r="U559" s="83"/>
      <c r="V559" s="83"/>
      <c r="W559" s="83"/>
      <c r="X559" s="83"/>
      <c r="Y559" s="83"/>
      <c r="Z559" s="83"/>
    </row>
    <row r="560">
      <c r="T560" s="83"/>
      <c r="U560" s="83"/>
      <c r="V560" s="83"/>
      <c r="W560" s="83"/>
      <c r="X560" s="83"/>
      <c r="Y560" s="83"/>
      <c r="Z560" s="83"/>
    </row>
    <row r="561">
      <c r="T561" s="83"/>
      <c r="U561" s="83"/>
      <c r="V561" s="83"/>
      <c r="W561" s="83"/>
      <c r="X561" s="83"/>
      <c r="Y561" s="83"/>
      <c r="Z561" s="83"/>
    </row>
    <row r="562">
      <c r="T562" s="83"/>
      <c r="U562" s="83"/>
      <c r="V562" s="83"/>
      <c r="W562" s="83"/>
      <c r="X562" s="83"/>
      <c r="Y562" s="83"/>
      <c r="Z562" s="83"/>
    </row>
    <row r="563">
      <c r="T563" s="83"/>
      <c r="U563" s="83"/>
      <c r="V563" s="83"/>
      <c r="W563" s="83"/>
      <c r="X563" s="83"/>
      <c r="Y563" s="83"/>
      <c r="Z563" s="83"/>
    </row>
    <row r="564">
      <c r="T564" s="83"/>
      <c r="U564" s="83"/>
      <c r="V564" s="83"/>
      <c r="W564" s="83"/>
      <c r="X564" s="83"/>
      <c r="Y564" s="83"/>
      <c r="Z564" s="83"/>
    </row>
    <row r="565">
      <c r="T565" s="83"/>
      <c r="U565" s="83"/>
      <c r="V565" s="83"/>
      <c r="W565" s="83"/>
      <c r="X565" s="83"/>
      <c r="Y565" s="83"/>
      <c r="Z565" s="83"/>
    </row>
    <row r="566">
      <c r="T566" s="83"/>
      <c r="U566" s="83"/>
      <c r="V566" s="83"/>
      <c r="W566" s="83"/>
      <c r="X566" s="83"/>
      <c r="Y566" s="83"/>
      <c r="Z566" s="83"/>
    </row>
    <row r="567">
      <c r="T567" s="83"/>
      <c r="U567" s="83"/>
      <c r="V567" s="83"/>
      <c r="W567" s="83"/>
      <c r="X567" s="83"/>
      <c r="Y567" s="83"/>
      <c r="Z567" s="83"/>
    </row>
    <row r="568">
      <c r="T568" s="83"/>
      <c r="U568" s="83"/>
      <c r="V568" s="83"/>
      <c r="W568" s="83"/>
      <c r="X568" s="83"/>
      <c r="Y568" s="83"/>
      <c r="Z568" s="83"/>
    </row>
    <row r="569">
      <c r="T569" s="83"/>
      <c r="U569" s="83"/>
      <c r="V569" s="83"/>
      <c r="W569" s="83"/>
      <c r="X569" s="83"/>
      <c r="Y569" s="83"/>
      <c r="Z569" s="83"/>
    </row>
    <row r="570">
      <c r="T570" s="83"/>
      <c r="U570" s="83"/>
      <c r="V570" s="83"/>
      <c r="W570" s="83"/>
      <c r="X570" s="83"/>
      <c r="Y570" s="83"/>
      <c r="Z570" s="83"/>
    </row>
    <row r="571">
      <c r="T571" s="83"/>
      <c r="U571" s="83"/>
      <c r="V571" s="83"/>
      <c r="W571" s="83"/>
      <c r="X571" s="83"/>
      <c r="Y571" s="83"/>
      <c r="Z571" s="83"/>
    </row>
    <row r="572">
      <c r="T572" s="83"/>
      <c r="U572" s="83"/>
      <c r="V572" s="83"/>
      <c r="W572" s="83"/>
      <c r="X572" s="83"/>
      <c r="Y572" s="83"/>
      <c r="Z572" s="83"/>
    </row>
    <row r="573">
      <c r="T573" s="83"/>
      <c r="U573" s="83"/>
      <c r="V573" s="83"/>
      <c r="W573" s="83"/>
      <c r="X573" s="83"/>
      <c r="Y573" s="83"/>
      <c r="Z573" s="83"/>
    </row>
    <row r="574">
      <c r="T574" s="83"/>
      <c r="U574" s="83"/>
      <c r="V574" s="83"/>
      <c r="W574" s="83"/>
      <c r="X574" s="83"/>
      <c r="Y574" s="83"/>
      <c r="Z574" s="83"/>
    </row>
    <row r="575">
      <c r="T575" s="83"/>
      <c r="U575" s="83"/>
      <c r="V575" s="83"/>
      <c r="W575" s="83"/>
      <c r="X575" s="83"/>
      <c r="Y575" s="83"/>
      <c r="Z575" s="83"/>
    </row>
    <row r="576">
      <c r="T576" s="83"/>
      <c r="U576" s="83"/>
      <c r="V576" s="83"/>
      <c r="W576" s="83"/>
      <c r="X576" s="83"/>
      <c r="Y576" s="83"/>
      <c r="Z576" s="83"/>
    </row>
    <row r="577">
      <c r="T577" s="83"/>
      <c r="U577" s="83"/>
      <c r="V577" s="83"/>
      <c r="W577" s="83"/>
      <c r="X577" s="83"/>
      <c r="Y577" s="83"/>
      <c r="Z577" s="83"/>
    </row>
    <row r="578">
      <c r="T578" s="83"/>
      <c r="U578" s="83"/>
      <c r="V578" s="83"/>
      <c r="W578" s="83"/>
      <c r="X578" s="83"/>
      <c r="Y578" s="83"/>
      <c r="Z578" s="83"/>
    </row>
    <row r="579">
      <c r="T579" s="83"/>
      <c r="U579" s="83"/>
      <c r="V579" s="83"/>
      <c r="W579" s="83"/>
      <c r="X579" s="83"/>
      <c r="Y579" s="83"/>
      <c r="Z579" s="83"/>
    </row>
    <row r="580">
      <c r="T580" s="83"/>
      <c r="U580" s="83"/>
      <c r="V580" s="83"/>
      <c r="W580" s="83"/>
      <c r="X580" s="83"/>
      <c r="Y580" s="83"/>
      <c r="Z580" s="83"/>
    </row>
    <row r="581">
      <c r="T581" s="83"/>
      <c r="U581" s="83"/>
      <c r="V581" s="83"/>
      <c r="W581" s="83"/>
      <c r="X581" s="83"/>
      <c r="Y581" s="83"/>
      <c r="Z581" s="83"/>
    </row>
    <row r="582">
      <c r="T582" s="83"/>
      <c r="U582" s="83"/>
      <c r="V582" s="83"/>
      <c r="W582" s="83"/>
      <c r="X582" s="83"/>
      <c r="Y582" s="83"/>
      <c r="Z582" s="83"/>
    </row>
    <row r="583">
      <c r="T583" s="83"/>
      <c r="U583" s="83"/>
      <c r="V583" s="83"/>
      <c r="W583" s="83"/>
      <c r="X583" s="83"/>
      <c r="Y583" s="83"/>
      <c r="Z583" s="83"/>
    </row>
    <row r="584">
      <c r="T584" s="83"/>
      <c r="U584" s="83"/>
      <c r="V584" s="83"/>
      <c r="W584" s="83"/>
      <c r="X584" s="83"/>
      <c r="Y584" s="83"/>
      <c r="Z584" s="83"/>
    </row>
    <row r="585">
      <c r="T585" s="83"/>
      <c r="U585" s="83"/>
      <c r="V585" s="83"/>
      <c r="W585" s="83"/>
      <c r="X585" s="83"/>
      <c r="Y585" s="83"/>
      <c r="Z585" s="83"/>
    </row>
    <row r="586">
      <c r="T586" s="83"/>
      <c r="U586" s="83"/>
      <c r="V586" s="83"/>
      <c r="W586" s="83"/>
      <c r="X586" s="83"/>
      <c r="Y586" s="83"/>
      <c r="Z586" s="83"/>
    </row>
    <row r="587">
      <c r="T587" s="83"/>
      <c r="U587" s="83"/>
      <c r="V587" s="83"/>
      <c r="W587" s="83"/>
      <c r="X587" s="83"/>
      <c r="Y587" s="83"/>
      <c r="Z587" s="83"/>
    </row>
    <row r="588">
      <c r="T588" s="83"/>
      <c r="U588" s="83"/>
      <c r="V588" s="83"/>
      <c r="W588" s="83"/>
      <c r="X588" s="83"/>
      <c r="Y588" s="83"/>
      <c r="Z588" s="83"/>
    </row>
    <row r="589">
      <c r="T589" s="83"/>
      <c r="U589" s="83"/>
      <c r="V589" s="83"/>
      <c r="W589" s="83"/>
      <c r="X589" s="83"/>
      <c r="Y589" s="83"/>
      <c r="Z589" s="83"/>
    </row>
    <row r="590">
      <c r="T590" s="83"/>
      <c r="U590" s="83"/>
      <c r="V590" s="83"/>
      <c r="W590" s="83"/>
      <c r="X590" s="83"/>
      <c r="Y590" s="83"/>
      <c r="Z590" s="83"/>
    </row>
    <row r="591">
      <c r="T591" s="83"/>
      <c r="U591" s="83"/>
      <c r="V591" s="83"/>
      <c r="W591" s="83"/>
      <c r="X591" s="83"/>
      <c r="Y591" s="83"/>
      <c r="Z591" s="83"/>
    </row>
    <row r="592">
      <c r="T592" s="83"/>
      <c r="U592" s="83"/>
      <c r="V592" s="83"/>
      <c r="W592" s="83"/>
      <c r="X592" s="83"/>
      <c r="Y592" s="83"/>
      <c r="Z592" s="83"/>
    </row>
    <row r="593">
      <c r="T593" s="83"/>
      <c r="U593" s="83"/>
      <c r="V593" s="83"/>
      <c r="W593" s="83"/>
      <c r="X593" s="83"/>
      <c r="Y593" s="83"/>
      <c r="Z593" s="83"/>
    </row>
    <row r="594">
      <c r="T594" s="83"/>
      <c r="U594" s="83"/>
      <c r="V594" s="83"/>
      <c r="W594" s="83"/>
      <c r="X594" s="83"/>
      <c r="Y594" s="83"/>
      <c r="Z594" s="83"/>
    </row>
    <row r="595">
      <c r="T595" s="83"/>
      <c r="U595" s="83"/>
      <c r="V595" s="83"/>
      <c r="W595" s="83"/>
      <c r="X595" s="83"/>
      <c r="Y595" s="83"/>
      <c r="Z595" s="83"/>
    </row>
    <row r="596">
      <c r="T596" s="83"/>
      <c r="U596" s="83"/>
      <c r="V596" s="83"/>
      <c r="W596" s="83"/>
      <c r="X596" s="83"/>
      <c r="Y596" s="83"/>
      <c r="Z596" s="83"/>
    </row>
    <row r="597">
      <c r="T597" s="83"/>
      <c r="U597" s="83"/>
      <c r="V597" s="83"/>
      <c r="W597" s="83"/>
      <c r="X597" s="83"/>
      <c r="Y597" s="83"/>
      <c r="Z597" s="83"/>
    </row>
    <row r="598">
      <c r="T598" s="83"/>
      <c r="U598" s="83"/>
      <c r="V598" s="83"/>
      <c r="W598" s="83"/>
      <c r="X598" s="83"/>
      <c r="Y598" s="83"/>
      <c r="Z598" s="83"/>
    </row>
    <row r="599">
      <c r="T599" s="83"/>
      <c r="U599" s="83"/>
      <c r="V599" s="83"/>
      <c r="W599" s="83"/>
      <c r="X599" s="83"/>
      <c r="Y599" s="83"/>
      <c r="Z599" s="83"/>
    </row>
    <row r="600">
      <c r="T600" s="83"/>
      <c r="U600" s="83"/>
      <c r="V600" s="83"/>
      <c r="W600" s="83"/>
      <c r="X600" s="83"/>
      <c r="Y600" s="83"/>
      <c r="Z600" s="83"/>
    </row>
    <row r="601">
      <c r="T601" s="83"/>
      <c r="U601" s="83"/>
      <c r="V601" s="83"/>
      <c r="W601" s="83"/>
      <c r="X601" s="83"/>
      <c r="Y601" s="83"/>
      <c r="Z601" s="83"/>
    </row>
    <row r="602">
      <c r="T602" s="83"/>
      <c r="U602" s="83"/>
      <c r="V602" s="83"/>
      <c r="W602" s="83"/>
      <c r="X602" s="83"/>
      <c r="Y602" s="83"/>
      <c r="Z602" s="83"/>
    </row>
    <row r="603">
      <c r="T603" s="83"/>
      <c r="U603" s="83"/>
      <c r="V603" s="83"/>
      <c r="W603" s="83"/>
      <c r="X603" s="83"/>
      <c r="Y603" s="83"/>
      <c r="Z603" s="83"/>
    </row>
    <row r="604">
      <c r="T604" s="83"/>
      <c r="U604" s="83"/>
      <c r="V604" s="83"/>
      <c r="W604" s="83"/>
      <c r="X604" s="83"/>
      <c r="Y604" s="83"/>
      <c r="Z604" s="83"/>
    </row>
    <row r="605">
      <c r="T605" s="83"/>
      <c r="U605" s="83"/>
      <c r="V605" s="83"/>
      <c r="W605" s="83"/>
      <c r="X605" s="83"/>
      <c r="Y605" s="83"/>
      <c r="Z605" s="83"/>
    </row>
    <row r="606">
      <c r="T606" s="83"/>
      <c r="U606" s="83"/>
      <c r="V606" s="83"/>
      <c r="W606" s="83"/>
      <c r="X606" s="83"/>
      <c r="Y606" s="83"/>
      <c r="Z606" s="83"/>
    </row>
    <row r="607">
      <c r="T607" s="83"/>
      <c r="U607" s="83"/>
      <c r="V607" s="83"/>
      <c r="W607" s="83"/>
      <c r="X607" s="83"/>
      <c r="Y607" s="83"/>
      <c r="Z607" s="83"/>
    </row>
    <row r="608">
      <c r="T608" s="83"/>
      <c r="U608" s="83"/>
      <c r="V608" s="83"/>
      <c r="W608" s="83"/>
      <c r="X608" s="83"/>
      <c r="Y608" s="83"/>
      <c r="Z608" s="83"/>
    </row>
    <row r="609">
      <c r="T609" s="83"/>
      <c r="U609" s="83"/>
      <c r="V609" s="83"/>
      <c r="W609" s="83"/>
      <c r="X609" s="83"/>
      <c r="Y609" s="83"/>
      <c r="Z609" s="83"/>
    </row>
    <row r="610">
      <c r="T610" s="83"/>
      <c r="U610" s="83"/>
      <c r="V610" s="83"/>
      <c r="W610" s="83"/>
      <c r="X610" s="83"/>
      <c r="Y610" s="83"/>
      <c r="Z610" s="83"/>
    </row>
    <row r="611">
      <c r="T611" s="83"/>
      <c r="U611" s="83"/>
      <c r="V611" s="83"/>
      <c r="W611" s="83"/>
      <c r="X611" s="83"/>
      <c r="Y611" s="83"/>
      <c r="Z611" s="83"/>
    </row>
    <row r="612">
      <c r="T612" s="83"/>
      <c r="U612" s="83"/>
      <c r="V612" s="83"/>
      <c r="W612" s="83"/>
      <c r="X612" s="83"/>
      <c r="Y612" s="83"/>
      <c r="Z612" s="83"/>
    </row>
    <row r="613">
      <c r="T613" s="83"/>
      <c r="U613" s="83"/>
      <c r="V613" s="83"/>
      <c r="W613" s="83"/>
      <c r="X613" s="83"/>
      <c r="Y613" s="83"/>
      <c r="Z613" s="83"/>
    </row>
    <row r="614">
      <c r="T614" s="83"/>
      <c r="U614" s="83"/>
      <c r="V614" s="83"/>
      <c r="W614" s="83"/>
      <c r="X614" s="83"/>
      <c r="Y614" s="83"/>
      <c r="Z614" s="83"/>
    </row>
    <row r="615">
      <c r="T615" s="83"/>
      <c r="U615" s="83"/>
      <c r="V615" s="83"/>
      <c r="W615" s="83"/>
      <c r="X615" s="83"/>
      <c r="Y615" s="83"/>
      <c r="Z615" s="83"/>
    </row>
    <row r="616">
      <c r="T616" s="83"/>
      <c r="U616" s="83"/>
      <c r="V616" s="83"/>
      <c r="W616" s="83"/>
      <c r="X616" s="83"/>
      <c r="Y616" s="83"/>
      <c r="Z616" s="83"/>
    </row>
    <row r="617">
      <c r="T617" s="83"/>
      <c r="U617" s="83"/>
      <c r="V617" s="83"/>
      <c r="W617" s="83"/>
      <c r="X617" s="83"/>
      <c r="Y617" s="83"/>
      <c r="Z617" s="83"/>
    </row>
    <row r="618">
      <c r="T618" s="83"/>
      <c r="U618" s="83"/>
      <c r="V618" s="83"/>
      <c r="W618" s="83"/>
      <c r="X618" s="83"/>
      <c r="Y618" s="83"/>
      <c r="Z618" s="83"/>
    </row>
    <row r="619">
      <c r="T619" s="83"/>
      <c r="U619" s="83"/>
      <c r="V619" s="83"/>
      <c r="W619" s="83"/>
      <c r="X619" s="83"/>
      <c r="Y619" s="83"/>
      <c r="Z619" s="83"/>
    </row>
    <row r="620">
      <c r="T620" s="83"/>
      <c r="U620" s="83"/>
      <c r="V620" s="83"/>
      <c r="W620" s="83"/>
      <c r="X620" s="83"/>
      <c r="Y620" s="83"/>
      <c r="Z620" s="83"/>
    </row>
    <row r="621">
      <c r="T621" s="83"/>
      <c r="U621" s="83"/>
      <c r="V621" s="83"/>
      <c r="W621" s="83"/>
      <c r="X621" s="83"/>
      <c r="Y621" s="83"/>
      <c r="Z621" s="83"/>
    </row>
    <row r="622">
      <c r="T622" s="83"/>
      <c r="U622" s="83"/>
      <c r="V622" s="83"/>
      <c r="W622" s="83"/>
      <c r="X622" s="83"/>
      <c r="Y622" s="83"/>
      <c r="Z622" s="83"/>
    </row>
    <row r="623">
      <c r="T623" s="83"/>
      <c r="U623" s="83"/>
      <c r="V623" s="83"/>
      <c r="W623" s="83"/>
      <c r="X623" s="83"/>
      <c r="Y623" s="83"/>
      <c r="Z623" s="83"/>
    </row>
    <row r="624">
      <c r="T624" s="83"/>
      <c r="U624" s="83"/>
      <c r="V624" s="83"/>
      <c r="W624" s="83"/>
      <c r="X624" s="83"/>
      <c r="Y624" s="83"/>
      <c r="Z624" s="83"/>
    </row>
    <row r="625">
      <c r="T625" s="83"/>
      <c r="U625" s="83"/>
      <c r="V625" s="83"/>
      <c r="W625" s="83"/>
      <c r="X625" s="83"/>
      <c r="Y625" s="83"/>
      <c r="Z625" s="83"/>
    </row>
    <row r="626">
      <c r="T626" s="83"/>
      <c r="U626" s="83"/>
      <c r="V626" s="83"/>
      <c r="W626" s="83"/>
      <c r="X626" s="83"/>
      <c r="Y626" s="83"/>
      <c r="Z626" s="83"/>
    </row>
    <row r="627">
      <c r="T627" s="83"/>
      <c r="U627" s="83"/>
      <c r="V627" s="83"/>
      <c r="W627" s="83"/>
      <c r="X627" s="83"/>
      <c r="Y627" s="83"/>
      <c r="Z627" s="83"/>
    </row>
    <row r="628">
      <c r="T628" s="83"/>
      <c r="U628" s="83"/>
      <c r="V628" s="83"/>
      <c r="W628" s="83"/>
      <c r="X628" s="83"/>
      <c r="Y628" s="83"/>
      <c r="Z628" s="83"/>
    </row>
    <row r="629">
      <c r="T629" s="83"/>
      <c r="U629" s="83"/>
      <c r="V629" s="83"/>
      <c r="W629" s="83"/>
      <c r="X629" s="83"/>
      <c r="Y629" s="83"/>
      <c r="Z629" s="83"/>
    </row>
    <row r="630">
      <c r="T630" s="83"/>
      <c r="U630" s="83"/>
      <c r="V630" s="83"/>
      <c r="W630" s="83"/>
      <c r="X630" s="83"/>
      <c r="Y630" s="83"/>
      <c r="Z630" s="83"/>
    </row>
    <row r="631">
      <c r="T631" s="83"/>
      <c r="U631" s="83"/>
      <c r="V631" s="83"/>
      <c r="W631" s="83"/>
      <c r="X631" s="83"/>
      <c r="Y631" s="83"/>
      <c r="Z631" s="83"/>
    </row>
    <row r="632">
      <c r="T632" s="83"/>
      <c r="U632" s="83"/>
      <c r="V632" s="83"/>
      <c r="W632" s="83"/>
      <c r="X632" s="83"/>
      <c r="Y632" s="83"/>
      <c r="Z632" s="83"/>
    </row>
    <row r="633">
      <c r="T633" s="83"/>
      <c r="U633" s="83"/>
      <c r="V633" s="83"/>
      <c r="W633" s="83"/>
      <c r="X633" s="83"/>
      <c r="Y633" s="83"/>
      <c r="Z633" s="83"/>
    </row>
    <row r="634">
      <c r="T634" s="83"/>
      <c r="U634" s="83"/>
      <c r="V634" s="83"/>
      <c r="W634" s="83"/>
      <c r="X634" s="83"/>
      <c r="Y634" s="83"/>
      <c r="Z634" s="83"/>
    </row>
    <row r="635">
      <c r="T635" s="83"/>
      <c r="U635" s="83"/>
      <c r="V635" s="83"/>
      <c r="W635" s="83"/>
      <c r="X635" s="83"/>
      <c r="Y635" s="83"/>
      <c r="Z635" s="83"/>
    </row>
    <row r="636">
      <c r="T636" s="83"/>
      <c r="U636" s="83"/>
      <c r="V636" s="83"/>
      <c r="W636" s="83"/>
      <c r="X636" s="83"/>
      <c r="Y636" s="83"/>
      <c r="Z636" s="83"/>
    </row>
    <row r="637">
      <c r="T637" s="83"/>
      <c r="U637" s="83"/>
      <c r="V637" s="83"/>
      <c r="W637" s="83"/>
      <c r="X637" s="83"/>
      <c r="Y637" s="83"/>
      <c r="Z637" s="83"/>
    </row>
    <row r="638">
      <c r="T638" s="83"/>
      <c r="U638" s="83"/>
      <c r="V638" s="83"/>
      <c r="W638" s="83"/>
      <c r="X638" s="83"/>
      <c r="Y638" s="83"/>
      <c r="Z638" s="83"/>
    </row>
    <row r="639">
      <c r="T639" s="83"/>
      <c r="U639" s="83"/>
      <c r="V639" s="83"/>
      <c r="W639" s="83"/>
      <c r="X639" s="83"/>
      <c r="Y639" s="83"/>
      <c r="Z639" s="83"/>
    </row>
    <row r="640">
      <c r="T640" s="83"/>
      <c r="U640" s="83"/>
      <c r="V640" s="83"/>
      <c r="W640" s="83"/>
      <c r="X640" s="83"/>
      <c r="Y640" s="83"/>
      <c r="Z640" s="83"/>
    </row>
    <row r="641">
      <c r="T641" s="83"/>
      <c r="U641" s="83"/>
      <c r="V641" s="83"/>
      <c r="W641" s="83"/>
      <c r="X641" s="83"/>
      <c r="Y641" s="83"/>
      <c r="Z641" s="83"/>
    </row>
    <row r="642">
      <c r="T642" s="83"/>
      <c r="U642" s="83"/>
      <c r="V642" s="83"/>
      <c r="W642" s="83"/>
      <c r="X642" s="83"/>
      <c r="Y642" s="83"/>
      <c r="Z642" s="83"/>
    </row>
    <row r="643">
      <c r="T643" s="83"/>
      <c r="U643" s="83"/>
      <c r="V643" s="83"/>
      <c r="W643" s="83"/>
      <c r="X643" s="83"/>
      <c r="Y643" s="83"/>
      <c r="Z643" s="83"/>
    </row>
    <row r="644">
      <c r="T644" s="83"/>
      <c r="U644" s="83"/>
      <c r="V644" s="83"/>
      <c r="W644" s="83"/>
      <c r="X644" s="83"/>
      <c r="Y644" s="83"/>
      <c r="Z644" s="83"/>
    </row>
    <row r="645">
      <c r="T645" s="83"/>
      <c r="U645" s="83"/>
      <c r="V645" s="83"/>
      <c r="W645" s="83"/>
      <c r="X645" s="83"/>
      <c r="Y645" s="83"/>
      <c r="Z645" s="83"/>
    </row>
    <row r="646">
      <c r="T646" s="83"/>
      <c r="U646" s="83"/>
      <c r="V646" s="83"/>
      <c r="W646" s="83"/>
      <c r="X646" s="83"/>
      <c r="Y646" s="83"/>
      <c r="Z646" s="83"/>
    </row>
    <row r="647">
      <c r="T647" s="83"/>
      <c r="U647" s="83"/>
      <c r="V647" s="83"/>
      <c r="W647" s="83"/>
      <c r="X647" s="83"/>
      <c r="Y647" s="83"/>
      <c r="Z647" s="83"/>
    </row>
    <row r="648">
      <c r="T648" s="83"/>
      <c r="U648" s="83"/>
      <c r="V648" s="83"/>
      <c r="W648" s="83"/>
      <c r="X648" s="83"/>
      <c r="Y648" s="83"/>
      <c r="Z648" s="83"/>
    </row>
    <row r="649">
      <c r="T649" s="83"/>
      <c r="U649" s="83"/>
      <c r="V649" s="83"/>
      <c r="W649" s="83"/>
      <c r="X649" s="83"/>
      <c r="Y649" s="83"/>
      <c r="Z649" s="83"/>
    </row>
    <row r="650">
      <c r="T650" s="83"/>
      <c r="U650" s="83"/>
      <c r="V650" s="83"/>
      <c r="W650" s="83"/>
      <c r="X650" s="83"/>
      <c r="Y650" s="83"/>
      <c r="Z650" s="83"/>
    </row>
    <row r="651">
      <c r="T651" s="83"/>
      <c r="U651" s="83"/>
      <c r="V651" s="83"/>
      <c r="W651" s="83"/>
      <c r="X651" s="83"/>
      <c r="Y651" s="83"/>
      <c r="Z651" s="83"/>
    </row>
    <row r="652">
      <c r="T652" s="83"/>
      <c r="U652" s="83"/>
      <c r="V652" s="83"/>
      <c r="W652" s="83"/>
      <c r="X652" s="83"/>
      <c r="Y652" s="83"/>
      <c r="Z652" s="83"/>
    </row>
    <row r="653">
      <c r="T653" s="83"/>
      <c r="U653" s="83"/>
      <c r="V653" s="83"/>
      <c r="W653" s="83"/>
      <c r="X653" s="83"/>
      <c r="Y653" s="83"/>
      <c r="Z653" s="83"/>
    </row>
    <row r="654">
      <c r="T654" s="83"/>
      <c r="U654" s="83"/>
      <c r="V654" s="83"/>
      <c r="W654" s="83"/>
      <c r="X654" s="83"/>
      <c r="Y654" s="83"/>
      <c r="Z654" s="83"/>
    </row>
    <row r="655">
      <c r="T655" s="83"/>
      <c r="U655" s="83"/>
      <c r="V655" s="83"/>
      <c r="W655" s="83"/>
      <c r="X655" s="83"/>
      <c r="Y655" s="83"/>
      <c r="Z655" s="83"/>
    </row>
    <row r="656">
      <c r="T656" s="83"/>
      <c r="U656" s="83"/>
      <c r="V656" s="83"/>
      <c r="W656" s="83"/>
      <c r="X656" s="83"/>
      <c r="Y656" s="83"/>
      <c r="Z656" s="83"/>
    </row>
    <row r="657">
      <c r="T657" s="83"/>
      <c r="U657" s="83"/>
      <c r="V657" s="83"/>
      <c r="W657" s="83"/>
      <c r="X657" s="83"/>
      <c r="Y657" s="83"/>
      <c r="Z657" s="83"/>
    </row>
    <row r="658">
      <c r="T658" s="83"/>
      <c r="U658" s="83"/>
      <c r="V658" s="83"/>
      <c r="W658" s="83"/>
      <c r="X658" s="83"/>
      <c r="Y658" s="83"/>
      <c r="Z658" s="83"/>
    </row>
    <row r="659">
      <c r="T659" s="83"/>
      <c r="U659" s="83"/>
      <c r="V659" s="83"/>
      <c r="W659" s="83"/>
      <c r="X659" s="83"/>
      <c r="Y659" s="83"/>
      <c r="Z659" s="83"/>
    </row>
    <row r="660">
      <c r="T660" s="83"/>
      <c r="U660" s="83"/>
      <c r="V660" s="83"/>
      <c r="W660" s="83"/>
      <c r="X660" s="83"/>
      <c r="Y660" s="83"/>
      <c r="Z660" s="83"/>
    </row>
    <row r="661">
      <c r="T661" s="83"/>
      <c r="U661" s="83"/>
      <c r="V661" s="83"/>
      <c r="W661" s="83"/>
      <c r="X661" s="83"/>
      <c r="Y661" s="83"/>
      <c r="Z661" s="83"/>
    </row>
    <row r="662">
      <c r="T662" s="83"/>
      <c r="U662" s="83"/>
      <c r="V662" s="83"/>
      <c r="W662" s="83"/>
      <c r="X662" s="83"/>
      <c r="Y662" s="83"/>
      <c r="Z662" s="83"/>
    </row>
    <row r="663">
      <c r="T663" s="83"/>
      <c r="U663" s="83"/>
      <c r="V663" s="83"/>
      <c r="W663" s="83"/>
      <c r="X663" s="83"/>
      <c r="Y663" s="83"/>
      <c r="Z663" s="83"/>
    </row>
    <row r="664">
      <c r="T664" s="83"/>
      <c r="U664" s="83"/>
      <c r="V664" s="83"/>
      <c r="W664" s="83"/>
      <c r="X664" s="83"/>
      <c r="Y664" s="83"/>
      <c r="Z664" s="83"/>
    </row>
    <row r="665">
      <c r="T665" s="83"/>
      <c r="U665" s="83"/>
      <c r="V665" s="83"/>
      <c r="W665" s="83"/>
      <c r="X665" s="83"/>
      <c r="Y665" s="83"/>
      <c r="Z665" s="83"/>
    </row>
    <row r="666">
      <c r="T666" s="83"/>
      <c r="U666" s="83"/>
      <c r="V666" s="83"/>
      <c r="W666" s="83"/>
      <c r="X666" s="83"/>
      <c r="Y666" s="83"/>
      <c r="Z666" s="83"/>
    </row>
    <row r="667">
      <c r="T667" s="83"/>
      <c r="U667" s="83"/>
      <c r="V667" s="83"/>
      <c r="W667" s="83"/>
      <c r="X667" s="83"/>
      <c r="Y667" s="83"/>
      <c r="Z667" s="83"/>
    </row>
    <row r="668">
      <c r="T668" s="83"/>
      <c r="U668" s="83"/>
      <c r="V668" s="83"/>
      <c r="W668" s="83"/>
      <c r="X668" s="83"/>
      <c r="Y668" s="83"/>
      <c r="Z668" s="83"/>
    </row>
    <row r="669">
      <c r="T669" s="83"/>
      <c r="U669" s="83"/>
      <c r="V669" s="83"/>
      <c r="W669" s="83"/>
      <c r="X669" s="83"/>
      <c r="Y669" s="83"/>
      <c r="Z669" s="83"/>
    </row>
    <row r="670">
      <c r="T670" s="83"/>
      <c r="U670" s="83"/>
      <c r="V670" s="83"/>
      <c r="W670" s="83"/>
      <c r="X670" s="83"/>
      <c r="Y670" s="83"/>
      <c r="Z670" s="83"/>
    </row>
    <row r="671">
      <c r="T671" s="83"/>
      <c r="U671" s="83"/>
      <c r="V671" s="83"/>
      <c r="W671" s="83"/>
      <c r="X671" s="83"/>
      <c r="Y671" s="83"/>
      <c r="Z671" s="83"/>
    </row>
    <row r="672">
      <c r="T672" s="83"/>
      <c r="U672" s="83"/>
      <c r="V672" s="83"/>
      <c r="W672" s="83"/>
      <c r="X672" s="83"/>
      <c r="Y672" s="83"/>
      <c r="Z672" s="83"/>
    </row>
    <row r="673">
      <c r="T673" s="83"/>
      <c r="U673" s="83"/>
      <c r="V673" s="83"/>
      <c r="W673" s="83"/>
      <c r="X673" s="83"/>
      <c r="Y673" s="83"/>
      <c r="Z673" s="83"/>
    </row>
    <row r="674">
      <c r="T674" s="83"/>
      <c r="U674" s="83"/>
      <c r="V674" s="83"/>
      <c r="W674" s="83"/>
      <c r="X674" s="83"/>
      <c r="Y674" s="83"/>
      <c r="Z674" s="83"/>
    </row>
    <row r="675">
      <c r="T675" s="83"/>
      <c r="U675" s="83"/>
      <c r="V675" s="83"/>
      <c r="W675" s="83"/>
      <c r="X675" s="83"/>
      <c r="Y675" s="83"/>
      <c r="Z675" s="83"/>
    </row>
    <row r="676">
      <c r="T676" s="83"/>
      <c r="U676" s="83"/>
      <c r="V676" s="83"/>
      <c r="W676" s="83"/>
      <c r="X676" s="83"/>
      <c r="Y676" s="83"/>
      <c r="Z676" s="83"/>
    </row>
    <row r="677">
      <c r="T677" s="83"/>
      <c r="U677" s="83"/>
      <c r="V677" s="83"/>
      <c r="W677" s="83"/>
      <c r="X677" s="83"/>
      <c r="Y677" s="83"/>
      <c r="Z677" s="83"/>
    </row>
    <row r="678">
      <c r="T678" s="83"/>
      <c r="U678" s="83"/>
      <c r="V678" s="83"/>
      <c r="W678" s="83"/>
      <c r="X678" s="83"/>
      <c r="Y678" s="83"/>
      <c r="Z678" s="83"/>
    </row>
    <row r="679">
      <c r="T679" s="83"/>
      <c r="U679" s="83"/>
      <c r="V679" s="83"/>
      <c r="W679" s="83"/>
      <c r="X679" s="83"/>
      <c r="Y679" s="83"/>
      <c r="Z679" s="83"/>
    </row>
    <row r="680">
      <c r="T680" s="83"/>
      <c r="U680" s="83"/>
      <c r="V680" s="83"/>
      <c r="W680" s="83"/>
      <c r="X680" s="83"/>
      <c r="Y680" s="83"/>
      <c r="Z680" s="83"/>
    </row>
    <row r="681">
      <c r="T681" s="83"/>
      <c r="U681" s="83"/>
      <c r="V681" s="83"/>
      <c r="W681" s="83"/>
      <c r="X681" s="83"/>
      <c r="Y681" s="83"/>
      <c r="Z681" s="83"/>
    </row>
    <row r="682">
      <c r="T682" s="83"/>
      <c r="U682" s="83"/>
      <c r="V682" s="83"/>
      <c r="W682" s="83"/>
      <c r="X682" s="83"/>
      <c r="Y682" s="83"/>
      <c r="Z682" s="83"/>
    </row>
    <row r="683">
      <c r="T683" s="83"/>
      <c r="U683" s="83"/>
      <c r="V683" s="83"/>
      <c r="W683" s="83"/>
      <c r="X683" s="83"/>
      <c r="Y683" s="83"/>
      <c r="Z683" s="83"/>
    </row>
    <row r="684">
      <c r="T684" s="83"/>
      <c r="U684" s="83"/>
      <c r="V684" s="83"/>
      <c r="W684" s="83"/>
      <c r="X684" s="83"/>
      <c r="Y684" s="83"/>
      <c r="Z684" s="83"/>
    </row>
    <row r="685">
      <c r="T685" s="83"/>
      <c r="U685" s="83"/>
      <c r="V685" s="83"/>
      <c r="W685" s="83"/>
      <c r="X685" s="83"/>
      <c r="Y685" s="83"/>
      <c r="Z685" s="83"/>
    </row>
    <row r="686">
      <c r="T686" s="83"/>
      <c r="U686" s="83"/>
      <c r="V686" s="83"/>
      <c r="W686" s="83"/>
      <c r="X686" s="83"/>
      <c r="Y686" s="83"/>
      <c r="Z686" s="83"/>
    </row>
    <row r="687">
      <c r="T687" s="83"/>
      <c r="U687" s="83"/>
      <c r="V687" s="83"/>
      <c r="W687" s="83"/>
      <c r="X687" s="83"/>
      <c r="Y687" s="83"/>
      <c r="Z687" s="83"/>
    </row>
    <row r="688">
      <c r="T688" s="83"/>
      <c r="U688" s="83"/>
      <c r="V688" s="83"/>
      <c r="W688" s="83"/>
      <c r="X688" s="83"/>
      <c r="Y688" s="83"/>
      <c r="Z688" s="83"/>
    </row>
    <row r="689">
      <c r="T689" s="83"/>
      <c r="U689" s="83"/>
      <c r="V689" s="83"/>
      <c r="W689" s="83"/>
      <c r="X689" s="83"/>
      <c r="Y689" s="83"/>
      <c r="Z689" s="83"/>
    </row>
    <row r="690">
      <c r="T690" s="83"/>
      <c r="U690" s="83"/>
      <c r="V690" s="83"/>
      <c r="W690" s="83"/>
      <c r="X690" s="83"/>
      <c r="Y690" s="83"/>
      <c r="Z690" s="83"/>
    </row>
    <row r="691">
      <c r="T691" s="83"/>
      <c r="U691" s="83"/>
      <c r="V691" s="83"/>
      <c r="W691" s="83"/>
      <c r="X691" s="83"/>
      <c r="Y691" s="83"/>
      <c r="Z691" s="83"/>
    </row>
    <row r="692">
      <c r="T692" s="83"/>
      <c r="U692" s="83"/>
      <c r="V692" s="83"/>
      <c r="W692" s="83"/>
      <c r="X692" s="83"/>
      <c r="Y692" s="83"/>
      <c r="Z692" s="83"/>
    </row>
    <row r="693">
      <c r="T693" s="83"/>
      <c r="U693" s="83"/>
      <c r="V693" s="83"/>
      <c r="W693" s="83"/>
      <c r="X693" s="83"/>
      <c r="Y693" s="83"/>
      <c r="Z693" s="83"/>
    </row>
    <row r="694">
      <c r="T694" s="83"/>
      <c r="U694" s="83"/>
      <c r="V694" s="83"/>
      <c r="W694" s="83"/>
      <c r="X694" s="83"/>
      <c r="Y694" s="83"/>
      <c r="Z694" s="83"/>
    </row>
    <row r="695">
      <c r="T695" s="83"/>
      <c r="U695" s="83"/>
      <c r="V695" s="83"/>
      <c r="W695" s="83"/>
      <c r="X695" s="83"/>
      <c r="Y695" s="83"/>
      <c r="Z695" s="83"/>
    </row>
    <row r="696">
      <c r="T696" s="83"/>
      <c r="U696" s="83"/>
      <c r="V696" s="83"/>
      <c r="W696" s="83"/>
      <c r="X696" s="83"/>
      <c r="Y696" s="83"/>
      <c r="Z696" s="83"/>
    </row>
    <row r="697">
      <c r="T697" s="83"/>
      <c r="U697" s="83"/>
      <c r="V697" s="83"/>
      <c r="W697" s="83"/>
      <c r="X697" s="83"/>
      <c r="Y697" s="83"/>
      <c r="Z697" s="83"/>
    </row>
    <row r="698">
      <c r="T698" s="83"/>
      <c r="U698" s="83"/>
      <c r="V698" s="83"/>
      <c r="W698" s="83"/>
      <c r="X698" s="83"/>
      <c r="Y698" s="83"/>
      <c r="Z698" s="83"/>
    </row>
    <row r="699">
      <c r="T699" s="83"/>
      <c r="U699" s="83"/>
      <c r="V699" s="83"/>
      <c r="W699" s="83"/>
      <c r="X699" s="83"/>
      <c r="Y699" s="83"/>
      <c r="Z699" s="83"/>
    </row>
    <row r="700">
      <c r="T700" s="83"/>
      <c r="U700" s="83"/>
      <c r="V700" s="83"/>
      <c r="W700" s="83"/>
      <c r="X700" s="83"/>
      <c r="Y700" s="83"/>
      <c r="Z700" s="83"/>
    </row>
    <row r="701">
      <c r="T701" s="83"/>
      <c r="U701" s="83"/>
      <c r="V701" s="83"/>
      <c r="W701" s="83"/>
      <c r="X701" s="83"/>
      <c r="Y701" s="83"/>
      <c r="Z701" s="83"/>
    </row>
    <row r="702">
      <c r="T702" s="83"/>
      <c r="U702" s="83"/>
      <c r="V702" s="83"/>
      <c r="W702" s="83"/>
      <c r="X702" s="83"/>
      <c r="Y702" s="83"/>
      <c r="Z702" s="83"/>
    </row>
    <row r="703">
      <c r="T703" s="83"/>
      <c r="U703" s="83"/>
      <c r="V703" s="83"/>
      <c r="W703" s="83"/>
      <c r="X703" s="83"/>
      <c r="Y703" s="83"/>
      <c r="Z703" s="83"/>
    </row>
    <row r="704">
      <c r="T704" s="83"/>
      <c r="U704" s="83"/>
      <c r="V704" s="83"/>
      <c r="W704" s="83"/>
      <c r="X704" s="83"/>
      <c r="Y704" s="83"/>
      <c r="Z704" s="83"/>
    </row>
    <row r="705">
      <c r="T705" s="83"/>
      <c r="U705" s="83"/>
      <c r="V705" s="83"/>
      <c r="W705" s="83"/>
      <c r="X705" s="83"/>
      <c r="Y705" s="83"/>
      <c r="Z705" s="83"/>
    </row>
    <row r="706">
      <c r="T706" s="83"/>
      <c r="U706" s="83"/>
      <c r="V706" s="83"/>
      <c r="W706" s="83"/>
      <c r="X706" s="83"/>
      <c r="Y706" s="83"/>
      <c r="Z706" s="83"/>
    </row>
    <row r="707">
      <c r="T707" s="83"/>
      <c r="U707" s="83"/>
      <c r="V707" s="83"/>
      <c r="W707" s="83"/>
      <c r="X707" s="83"/>
      <c r="Y707" s="83"/>
      <c r="Z707" s="83"/>
    </row>
    <row r="708">
      <c r="T708" s="83"/>
      <c r="U708" s="83"/>
      <c r="V708" s="83"/>
      <c r="W708" s="83"/>
      <c r="X708" s="83"/>
      <c r="Y708" s="83"/>
      <c r="Z708" s="83"/>
    </row>
    <row r="709">
      <c r="T709" s="83"/>
      <c r="U709" s="83"/>
      <c r="V709" s="83"/>
      <c r="W709" s="83"/>
      <c r="X709" s="83"/>
      <c r="Y709" s="83"/>
      <c r="Z709" s="83"/>
    </row>
    <row r="710">
      <c r="T710" s="83"/>
      <c r="U710" s="83"/>
      <c r="V710" s="83"/>
      <c r="W710" s="83"/>
      <c r="X710" s="83"/>
      <c r="Y710" s="83"/>
      <c r="Z710" s="83"/>
    </row>
    <row r="711">
      <c r="T711" s="83"/>
      <c r="U711" s="83"/>
      <c r="V711" s="83"/>
      <c r="W711" s="83"/>
      <c r="X711" s="83"/>
      <c r="Y711" s="83"/>
      <c r="Z711" s="83"/>
    </row>
    <row r="712">
      <c r="T712" s="83"/>
      <c r="U712" s="83"/>
      <c r="V712" s="83"/>
      <c r="W712" s="83"/>
      <c r="X712" s="83"/>
      <c r="Y712" s="83"/>
      <c r="Z712" s="83"/>
    </row>
    <row r="713">
      <c r="T713" s="83"/>
      <c r="U713" s="83"/>
      <c r="V713" s="83"/>
      <c r="W713" s="83"/>
      <c r="X713" s="83"/>
      <c r="Y713" s="83"/>
      <c r="Z713" s="83"/>
    </row>
    <row r="714">
      <c r="T714" s="83"/>
      <c r="U714" s="83"/>
      <c r="V714" s="83"/>
      <c r="W714" s="83"/>
      <c r="X714" s="83"/>
      <c r="Y714" s="83"/>
      <c r="Z714" s="83"/>
    </row>
    <row r="715">
      <c r="T715" s="83"/>
      <c r="U715" s="83"/>
      <c r="V715" s="83"/>
      <c r="W715" s="83"/>
      <c r="X715" s="83"/>
      <c r="Y715" s="83"/>
      <c r="Z715" s="83"/>
    </row>
    <row r="716">
      <c r="T716" s="83"/>
      <c r="U716" s="83"/>
      <c r="V716" s="83"/>
      <c r="W716" s="83"/>
      <c r="X716" s="83"/>
      <c r="Y716" s="83"/>
      <c r="Z716" s="83"/>
    </row>
    <row r="717">
      <c r="T717" s="83"/>
      <c r="U717" s="83"/>
      <c r="V717" s="83"/>
      <c r="W717" s="83"/>
      <c r="X717" s="83"/>
      <c r="Y717" s="83"/>
      <c r="Z717" s="83"/>
    </row>
    <row r="718">
      <c r="T718" s="83"/>
      <c r="U718" s="83"/>
      <c r="V718" s="83"/>
      <c r="W718" s="83"/>
      <c r="X718" s="83"/>
      <c r="Y718" s="83"/>
      <c r="Z718" s="83"/>
    </row>
    <row r="719">
      <c r="T719" s="83"/>
      <c r="U719" s="83"/>
      <c r="V719" s="83"/>
      <c r="W719" s="83"/>
      <c r="X719" s="83"/>
      <c r="Y719" s="83"/>
      <c r="Z719" s="83"/>
    </row>
    <row r="720">
      <c r="T720" s="83"/>
      <c r="U720" s="83"/>
      <c r="V720" s="83"/>
      <c r="W720" s="83"/>
      <c r="X720" s="83"/>
      <c r="Y720" s="83"/>
      <c r="Z720" s="83"/>
    </row>
    <row r="721">
      <c r="T721" s="83"/>
      <c r="U721" s="83"/>
      <c r="V721" s="83"/>
      <c r="W721" s="83"/>
      <c r="X721" s="83"/>
      <c r="Y721" s="83"/>
      <c r="Z721" s="83"/>
    </row>
    <row r="722">
      <c r="T722" s="83"/>
      <c r="U722" s="83"/>
      <c r="V722" s="83"/>
      <c r="W722" s="83"/>
      <c r="X722" s="83"/>
      <c r="Y722" s="83"/>
      <c r="Z722" s="83"/>
    </row>
    <row r="723">
      <c r="T723" s="83"/>
      <c r="U723" s="83"/>
      <c r="V723" s="83"/>
      <c r="W723" s="83"/>
      <c r="X723" s="83"/>
      <c r="Y723" s="83"/>
      <c r="Z723" s="83"/>
    </row>
    <row r="724">
      <c r="T724" s="83"/>
      <c r="U724" s="83"/>
      <c r="V724" s="83"/>
      <c r="W724" s="83"/>
      <c r="X724" s="83"/>
      <c r="Y724" s="83"/>
      <c r="Z724" s="83"/>
    </row>
    <row r="725">
      <c r="T725" s="83"/>
      <c r="U725" s="83"/>
      <c r="V725" s="83"/>
      <c r="W725" s="83"/>
      <c r="X725" s="83"/>
      <c r="Y725" s="83"/>
      <c r="Z725" s="83"/>
    </row>
    <row r="726">
      <c r="T726" s="83"/>
      <c r="U726" s="83"/>
      <c r="V726" s="83"/>
      <c r="W726" s="83"/>
      <c r="X726" s="83"/>
      <c r="Y726" s="83"/>
      <c r="Z726" s="83"/>
    </row>
    <row r="727">
      <c r="T727" s="83"/>
      <c r="U727" s="83"/>
      <c r="V727" s="83"/>
      <c r="W727" s="83"/>
      <c r="X727" s="83"/>
      <c r="Y727" s="83"/>
      <c r="Z727" s="83"/>
    </row>
    <row r="728">
      <c r="T728" s="83"/>
      <c r="U728" s="83"/>
      <c r="V728" s="83"/>
      <c r="W728" s="83"/>
      <c r="X728" s="83"/>
      <c r="Y728" s="83"/>
      <c r="Z728" s="83"/>
    </row>
    <row r="729">
      <c r="T729" s="83"/>
      <c r="U729" s="83"/>
      <c r="V729" s="83"/>
      <c r="W729" s="83"/>
      <c r="X729" s="83"/>
      <c r="Y729" s="83"/>
      <c r="Z729" s="83"/>
    </row>
    <row r="730">
      <c r="T730" s="83"/>
      <c r="U730" s="83"/>
      <c r="V730" s="83"/>
      <c r="W730" s="83"/>
      <c r="X730" s="83"/>
      <c r="Y730" s="83"/>
      <c r="Z730" s="83"/>
    </row>
    <row r="731">
      <c r="T731" s="83"/>
      <c r="U731" s="83"/>
      <c r="V731" s="83"/>
      <c r="W731" s="83"/>
      <c r="X731" s="83"/>
      <c r="Y731" s="83"/>
      <c r="Z731" s="83"/>
    </row>
    <row r="732">
      <c r="T732" s="83"/>
      <c r="U732" s="83"/>
      <c r="V732" s="83"/>
      <c r="W732" s="83"/>
      <c r="X732" s="83"/>
      <c r="Y732" s="83"/>
      <c r="Z732" s="83"/>
    </row>
    <row r="733">
      <c r="T733" s="83"/>
      <c r="U733" s="83"/>
      <c r="V733" s="83"/>
      <c r="W733" s="83"/>
      <c r="X733" s="83"/>
      <c r="Y733" s="83"/>
      <c r="Z733" s="83"/>
    </row>
    <row r="734">
      <c r="T734" s="83"/>
      <c r="U734" s="83"/>
      <c r="V734" s="83"/>
      <c r="W734" s="83"/>
      <c r="X734" s="83"/>
      <c r="Y734" s="83"/>
      <c r="Z734" s="83"/>
    </row>
    <row r="735">
      <c r="T735" s="83"/>
      <c r="U735" s="83"/>
      <c r="V735" s="83"/>
      <c r="W735" s="83"/>
      <c r="X735" s="83"/>
      <c r="Y735" s="83"/>
      <c r="Z735" s="83"/>
    </row>
    <row r="736">
      <c r="T736" s="83"/>
      <c r="U736" s="83"/>
      <c r="V736" s="83"/>
      <c r="W736" s="83"/>
      <c r="X736" s="83"/>
      <c r="Y736" s="83"/>
      <c r="Z736" s="83"/>
    </row>
    <row r="737">
      <c r="T737" s="83"/>
      <c r="U737" s="83"/>
      <c r="V737" s="83"/>
      <c r="W737" s="83"/>
      <c r="X737" s="83"/>
      <c r="Y737" s="83"/>
      <c r="Z737" s="83"/>
    </row>
    <row r="738">
      <c r="T738" s="83"/>
      <c r="U738" s="83"/>
      <c r="V738" s="83"/>
      <c r="W738" s="83"/>
      <c r="X738" s="83"/>
      <c r="Y738" s="83"/>
      <c r="Z738" s="83"/>
    </row>
    <row r="739">
      <c r="T739" s="83"/>
      <c r="U739" s="83"/>
      <c r="V739" s="83"/>
      <c r="W739" s="83"/>
      <c r="X739" s="83"/>
      <c r="Y739" s="83"/>
      <c r="Z739" s="83"/>
    </row>
    <row r="740">
      <c r="T740" s="83"/>
      <c r="U740" s="83"/>
      <c r="V740" s="83"/>
      <c r="W740" s="83"/>
      <c r="X740" s="83"/>
      <c r="Y740" s="83"/>
      <c r="Z740" s="83"/>
    </row>
    <row r="741">
      <c r="T741" s="83"/>
      <c r="U741" s="83"/>
      <c r="V741" s="83"/>
      <c r="W741" s="83"/>
      <c r="X741" s="83"/>
      <c r="Y741" s="83"/>
      <c r="Z741" s="83"/>
    </row>
    <row r="742">
      <c r="T742" s="83"/>
      <c r="U742" s="83"/>
      <c r="V742" s="83"/>
      <c r="W742" s="83"/>
      <c r="X742" s="83"/>
      <c r="Y742" s="83"/>
      <c r="Z742" s="83"/>
    </row>
    <row r="743">
      <c r="T743" s="83"/>
      <c r="U743" s="83"/>
      <c r="V743" s="83"/>
      <c r="W743" s="83"/>
      <c r="X743" s="83"/>
      <c r="Y743" s="83"/>
      <c r="Z743" s="83"/>
    </row>
    <row r="744">
      <c r="T744" s="83"/>
      <c r="U744" s="83"/>
      <c r="V744" s="83"/>
      <c r="W744" s="83"/>
      <c r="X744" s="83"/>
      <c r="Y744" s="83"/>
      <c r="Z744" s="83"/>
    </row>
    <row r="745">
      <c r="T745" s="83"/>
      <c r="U745" s="83"/>
      <c r="V745" s="83"/>
      <c r="W745" s="83"/>
      <c r="X745" s="83"/>
      <c r="Y745" s="83"/>
      <c r="Z745" s="83"/>
    </row>
    <row r="746">
      <c r="T746" s="83"/>
      <c r="U746" s="83"/>
      <c r="V746" s="83"/>
      <c r="W746" s="83"/>
      <c r="X746" s="83"/>
      <c r="Y746" s="83"/>
      <c r="Z746" s="83"/>
    </row>
    <row r="747">
      <c r="T747" s="83"/>
      <c r="U747" s="83"/>
      <c r="V747" s="83"/>
      <c r="W747" s="83"/>
      <c r="X747" s="83"/>
      <c r="Y747" s="83"/>
      <c r="Z747" s="83"/>
    </row>
    <row r="748">
      <c r="T748" s="83"/>
      <c r="U748" s="83"/>
      <c r="V748" s="83"/>
      <c r="W748" s="83"/>
      <c r="X748" s="83"/>
      <c r="Y748" s="83"/>
      <c r="Z748" s="83"/>
    </row>
    <row r="749">
      <c r="T749" s="83"/>
      <c r="U749" s="83"/>
      <c r="V749" s="83"/>
      <c r="W749" s="83"/>
      <c r="X749" s="83"/>
      <c r="Y749" s="83"/>
      <c r="Z749" s="83"/>
    </row>
    <row r="750">
      <c r="T750" s="83"/>
      <c r="U750" s="83"/>
      <c r="V750" s="83"/>
      <c r="W750" s="83"/>
      <c r="X750" s="83"/>
      <c r="Y750" s="83"/>
      <c r="Z750" s="83"/>
    </row>
    <row r="751">
      <c r="T751" s="83"/>
      <c r="U751" s="83"/>
      <c r="V751" s="83"/>
      <c r="W751" s="83"/>
      <c r="X751" s="83"/>
      <c r="Y751" s="83"/>
      <c r="Z751" s="83"/>
    </row>
    <row r="752">
      <c r="T752" s="83"/>
      <c r="U752" s="83"/>
      <c r="V752" s="83"/>
      <c r="W752" s="83"/>
      <c r="X752" s="83"/>
      <c r="Y752" s="83"/>
      <c r="Z752" s="83"/>
    </row>
    <row r="753">
      <c r="T753" s="83"/>
      <c r="U753" s="83"/>
      <c r="V753" s="83"/>
      <c r="W753" s="83"/>
      <c r="X753" s="83"/>
      <c r="Y753" s="83"/>
      <c r="Z753" s="83"/>
    </row>
    <row r="754">
      <c r="T754" s="83"/>
      <c r="U754" s="83"/>
      <c r="V754" s="83"/>
      <c r="W754" s="83"/>
      <c r="X754" s="83"/>
      <c r="Y754" s="83"/>
      <c r="Z754" s="83"/>
    </row>
    <row r="755">
      <c r="T755" s="83"/>
      <c r="U755" s="83"/>
      <c r="V755" s="83"/>
      <c r="W755" s="83"/>
      <c r="X755" s="83"/>
      <c r="Y755" s="83"/>
      <c r="Z755" s="83"/>
    </row>
    <row r="756">
      <c r="T756" s="83"/>
      <c r="U756" s="83"/>
      <c r="V756" s="83"/>
      <c r="W756" s="83"/>
      <c r="X756" s="83"/>
      <c r="Y756" s="83"/>
      <c r="Z756" s="83"/>
    </row>
    <row r="757">
      <c r="T757" s="83"/>
      <c r="U757" s="83"/>
      <c r="V757" s="83"/>
      <c r="W757" s="83"/>
      <c r="X757" s="83"/>
      <c r="Y757" s="83"/>
      <c r="Z757" s="83"/>
    </row>
    <row r="758">
      <c r="T758" s="83"/>
      <c r="U758" s="83"/>
      <c r="V758" s="83"/>
      <c r="W758" s="83"/>
      <c r="X758" s="83"/>
      <c r="Y758" s="83"/>
      <c r="Z758" s="83"/>
    </row>
    <row r="759">
      <c r="T759" s="83"/>
      <c r="U759" s="83"/>
      <c r="V759" s="83"/>
      <c r="W759" s="83"/>
      <c r="X759" s="83"/>
      <c r="Y759" s="83"/>
      <c r="Z759" s="83"/>
    </row>
    <row r="760">
      <c r="T760" s="83"/>
      <c r="U760" s="83"/>
      <c r="V760" s="83"/>
      <c r="W760" s="83"/>
      <c r="X760" s="83"/>
      <c r="Y760" s="83"/>
      <c r="Z760" s="83"/>
    </row>
    <row r="761">
      <c r="T761" s="83"/>
      <c r="U761" s="83"/>
      <c r="V761" s="83"/>
      <c r="W761" s="83"/>
      <c r="X761" s="83"/>
      <c r="Y761" s="83"/>
      <c r="Z761" s="83"/>
    </row>
    <row r="762">
      <c r="T762" s="83"/>
      <c r="U762" s="83"/>
      <c r="V762" s="83"/>
      <c r="W762" s="83"/>
      <c r="X762" s="83"/>
      <c r="Y762" s="83"/>
      <c r="Z762" s="83"/>
    </row>
    <row r="763">
      <c r="T763" s="83"/>
      <c r="U763" s="83"/>
      <c r="V763" s="83"/>
      <c r="W763" s="83"/>
      <c r="X763" s="83"/>
      <c r="Y763" s="83"/>
      <c r="Z763" s="83"/>
    </row>
    <row r="764">
      <c r="T764" s="83"/>
      <c r="U764" s="83"/>
      <c r="V764" s="83"/>
      <c r="W764" s="83"/>
      <c r="X764" s="83"/>
      <c r="Y764" s="83"/>
      <c r="Z764" s="83"/>
    </row>
    <row r="765">
      <c r="T765" s="83"/>
      <c r="U765" s="83"/>
      <c r="V765" s="83"/>
      <c r="W765" s="83"/>
      <c r="X765" s="83"/>
      <c r="Y765" s="83"/>
      <c r="Z765" s="83"/>
    </row>
    <row r="766">
      <c r="T766" s="83"/>
      <c r="U766" s="83"/>
      <c r="V766" s="83"/>
      <c r="W766" s="83"/>
      <c r="X766" s="83"/>
      <c r="Y766" s="83"/>
      <c r="Z766" s="83"/>
    </row>
    <row r="767">
      <c r="T767" s="83"/>
      <c r="U767" s="83"/>
      <c r="V767" s="83"/>
      <c r="W767" s="83"/>
      <c r="X767" s="83"/>
      <c r="Y767" s="83"/>
      <c r="Z767" s="83"/>
    </row>
    <row r="768">
      <c r="T768" s="83"/>
      <c r="U768" s="83"/>
      <c r="V768" s="83"/>
      <c r="W768" s="83"/>
      <c r="X768" s="83"/>
      <c r="Y768" s="83"/>
      <c r="Z768" s="83"/>
    </row>
    <row r="769">
      <c r="T769" s="83"/>
      <c r="U769" s="83"/>
      <c r="V769" s="83"/>
      <c r="W769" s="83"/>
      <c r="X769" s="83"/>
      <c r="Y769" s="83"/>
      <c r="Z769" s="83"/>
    </row>
    <row r="770">
      <c r="T770" s="83"/>
      <c r="U770" s="83"/>
      <c r="V770" s="83"/>
      <c r="W770" s="83"/>
      <c r="X770" s="83"/>
      <c r="Y770" s="83"/>
      <c r="Z770" s="83"/>
    </row>
    <row r="771">
      <c r="T771" s="83"/>
      <c r="U771" s="83"/>
      <c r="V771" s="83"/>
      <c r="W771" s="83"/>
      <c r="X771" s="83"/>
      <c r="Y771" s="83"/>
      <c r="Z771" s="83"/>
    </row>
    <row r="772">
      <c r="T772" s="83"/>
      <c r="U772" s="83"/>
      <c r="V772" s="83"/>
      <c r="W772" s="83"/>
      <c r="X772" s="83"/>
      <c r="Y772" s="83"/>
      <c r="Z772" s="83"/>
    </row>
    <row r="773">
      <c r="T773" s="83"/>
      <c r="U773" s="83"/>
      <c r="V773" s="83"/>
      <c r="W773" s="83"/>
      <c r="X773" s="83"/>
      <c r="Y773" s="83"/>
      <c r="Z773" s="83"/>
    </row>
    <row r="774">
      <c r="T774" s="83"/>
      <c r="U774" s="83"/>
      <c r="V774" s="83"/>
      <c r="W774" s="83"/>
      <c r="X774" s="83"/>
      <c r="Y774" s="83"/>
      <c r="Z774" s="83"/>
    </row>
    <row r="775">
      <c r="T775" s="83"/>
      <c r="U775" s="83"/>
      <c r="V775" s="83"/>
      <c r="W775" s="83"/>
      <c r="X775" s="83"/>
      <c r="Y775" s="83"/>
      <c r="Z775" s="83"/>
    </row>
    <row r="776">
      <c r="T776" s="83"/>
      <c r="U776" s="83"/>
      <c r="V776" s="83"/>
      <c r="W776" s="83"/>
      <c r="X776" s="83"/>
      <c r="Y776" s="83"/>
      <c r="Z776" s="83"/>
    </row>
    <row r="777">
      <c r="T777" s="83"/>
      <c r="U777" s="83"/>
      <c r="V777" s="83"/>
      <c r="W777" s="83"/>
      <c r="X777" s="83"/>
      <c r="Y777" s="83"/>
      <c r="Z777" s="83"/>
    </row>
    <row r="778">
      <c r="T778" s="83"/>
      <c r="U778" s="83"/>
      <c r="V778" s="83"/>
      <c r="W778" s="83"/>
      <c r="X778" s="83"/>
      <c r="Y778" s="83"/>
      <c r="Z778" s="83"/>
    </row>
    <row r="779">
      <c r="T779" s="83"/>
      <c r="U779" s="83"/>
      <c r="V779" s="83"/>
      <c r="W779" s="83"/>
      <c r="X779" s="83"/>
      <c r="Y779" s="83"/>
      <c r="Z779" s="83"/>
    </row>
    <row r="780">
      <c r="T780" s="83"/>
      <c r="U780" s="83"/>
      <c r="V780" s="83"/>
      <c r="W780" s="83"/>
      <c r="X780" s="83"/>
      <c r="Y780" s="83"/>
      <c r="Z780" s="83"/>
    </row>
    <row r="781">
      <c r="T781" s="83"/>
      <c r="U781" s="83"/>
      <c r="V781" s="83"/>
      <c r="W781" s="83"/>
      <c r="X781" s="83"/>
      <c r="Y781" s="83"/>
      <c r="Z781" s="83"/>
    </row>
    <row r="782">
      <c r="T782" s="83"/>
      <c r="U782" s="83"/>
      <c r="V782" s="83"/>
      <c r="W782" s="83"/>
      <c r="X782" s="83"/>
      <c r="Y782" s="83"/>
      <c r="Z782" s="83"/>
    </row>
    <row r="783">
      <c r="T783" s="83"/>
      <c r="U783" s="83"/>
      <c r="V783" s="83"/>
      <c r="W783" s="83"/>
      <c r="X783" s="83"/>
      <c r="Y783" s="83"/>
      <c r="Z783" s="83"/>
    </row>
    <row r="784">
      <c r="T784" s="83"/>
      <c r="U784" s="83"/>
      <c r="V784" s="83"/>
      <c r="W784" s="83"/>
      <c r="X784" s="83"/>
      <c r="Y784" s="83"/>
      <c r="Z784" s="83"/>
    </row>
    <row r="785">
      <c r="T785" s="83"/>
      <c r="U785" s="83"/>
      <c r="V785" s="83"/>
      <c r="W785" s="83"/>
      <c r="X785" s="83"/>
      <c r="Y785" s="83"/>
      <c r="Z785" s="83"/>
    </row>
    <row r="786">
      <c r="T786" s="83"/>
      <c r="U786" s="83"/>
      <c r="V786" s="83"/>
      <c r="W786" s="83"/>
      <c r="X786" s="83"/>
      <c r="Y786" s="83"/>
      <c r="Z786" s="83"/>
    </row>
    <row r="787">
      <c r="T787" s="83"/>
      <c r="U787" s="83"/>
      <c r="V787" s="83"/>
      <c r="W787" s="83"/>
      <c r="X787" s="83"/>
      <c r="Y787" s="83"/>
      <c r="Z787" s="83"/>
    </row>
    <row r="788">
      <c r="T788" s="83"/>
      <c r="U788" s="83"/>
      <c r="V788" s="83"/>
      <c r="W788" s="83"/>
      <c r="X788" s="83"/>
      <c r="Y788" s="83"/>
      <c r="Z788" s="83"/>
    </row>
    <row r="789">
      <c r="T789" s="83"/>
      <c r="U789" s="83"/>
      <c r="V789" s="83"/>
      <c r="W789" s="83"/>
      <c r="X789" s="83"/>
      <c r="Y789" s="83"/>
      <c r="Z789" s="83"/>
    </row>
    <row r="790">
      <c r="T790" s="83"/>
      <c r="U790" s="83"/>
      <c r="V790" s="83"/>
      <c r="W790" s="83"/>
      <c r="X790" s="83"/>
      <c r="Y790" s="83"/>
      <c r="Z790" s="83"/>
    </row>
    <row r="791">
      <c r="T791" s="83"/>
      <c r="U791" s="83"/>
      <c r="V791" s="83"/>
      <c r="W791" s="83"/>
      <c r="X791" s="83"/>
      <c r="Y791" s="83"/>
      <c r="Z791" s="83"/>
    </row>
    <row r="792">
      <c r="T792" s="83"/>
      <c r="U792" s="83"/>
      <c r="V792" s="83"/>
      <c r="W792" s="83"/>
      <c r="X792" s="83"/>
      <c r="Y792" s="83"/>
      <c r="Z792" s="83"/>
    </row>
    <row r="793">
      <c r="T793" s="83"/>
      <c r="U793" s="83"/>
      <c r="V793" s="83"/>
      <c r="W793" s="83"/>
      <c r="X793" s="83"/>
      <c r="Y793" s="83"/>
      <c r="Z793" s="83"/>
    </row>
    <row r="794">
      <c r="T794" s="83"/>
      <c r="U794" s="83"/>
      <c r="V794" s="83"/>
      <c r="W794" s="83"/>
      <c r="X794" s="83"/>
      <c r="Y794" s="83"/>
      <c r="Z794" s="83"/>
    </row>
    <row r="795">
      <c r="T795" s="83"/>
      <c r="U795" s="83"/>
      <c r="V795" s="83"/>
      <c r="W795" s="83"/>
      <c r="X795" s="83"/>
      <c r="Y795" s="83"/>
      <c r="Z795" s="83"/>
    </row>
    <row r="796">
      <c r="T796" s="83"/>
      <c r="U796" s="83"/>
      <c r="V796" s="83"/>
      <c r="W796" s="83"/>
      <c r="X796" s="83"/>
      <c r="Y796" s="83"/>
      <c r="Z796" s="83"/>
    </row>
    <row r="797">
      <c r="T797" s="83"/>
      <c r="U797" s="83"/>
      <c r="V797" s="83"/>
      <c r="W797" s="83"/>
      <c r="X797" s="83"/>
      <c r="Y797" s="83"/>
      <c r="Z797" s="83"/>
    </row>
    <row r="798">
      <c r="T798" s="83"/>
      <c r="U798" s="83"/>
      <c r="V798" s="83"/>
      <c r="W798" s="83"/>
      <c r="X798" s="83"/>
      <c r="Y798" s="83"/>
      <c r="Z798" s="83"/>
    </row>
    <row r="799">
      <c r="T799" s="83"/>
      <c r="U799" s="83"/>
      <c r="V799" s="83"/>
      <c r="W799" s="83"/>
      <c r="X799" s="83"/>
      <c r="Y799" s="83"/>
      <c r="Z799" s="83"/>
    </row>
    <row r="800">
      <c r="T800" s="83"/>
      <c r="U800" s="83"/>
      <c r="V800" s="83"/>
      <c r="W800" s="83"/>
      <c r="X800" s="83"/>
      <c r="Y800" s="83"/>
      <c r="Z800" s="83"/>
    </row>
    <row r="801">
      <c r="T801" s="83"/>
      <c r="U801" s="83"/>
      <c r="V801" s="83"/>
      <c r="W801" s="83"/>
      <c r="X801" s="83"/>
      <c r="Y801" s="83"/>
      <c r="Z801" s="83"/>
    </row>
    <row r="802">
      <c r="T802" s="83"/>
      <c r="U802" s="83"/>
      <c r="V802" s="83"/>
      <c r="W802" s="83"/>
      <c r="X802" s="83"/>
      <c r="Y802" s="83"/>
      <c r="Z802" s="83"/>
    </row>
    <row r="803">
      <c r="T803" s="83"/>
      <c r="U803" s="83"/>
      <c r="V803" s="83"/>
      <c r="W803" s="83"/>
      <c r="X803" s="83"/>
      <c r="Y803" s="83"/>
      <c r="Z803" s="83"/>
    </row>
    <row r="804">
      <c r="T804" s="83"/>
      <c r="U804" s="83"/>
      <c r="V804" s="83"/>
      <c r="W804" s="83"/>
      <c r="X804" s="83"/>
      <c r="Y804" s="83"/>
      <c r="Z804" s="83"/>
    </row>
    <row r="805">
      <c r="T805" s="83"/>
      <c r="U805" s="83"/>
      <c r="V805" s="83"/>
      <c r="W805" s="83"/>
      <c r="X805" s="83"/>
      <c r="Y805" s="83"/>
      <c r="Z805" s="83"/>
    </row>
    <row r="806">
      <c r="T806" s="83"/>
      <c r="U806" s="83"/>
      <c r="V806" s="83"/>
      <c r="W806" s="83"/>
      <c r="X806" s="83"/>
      <c r="Y806" s="83"/>
      <c r="Z806" s="83"/>
    </row>
    <row r="807">
      <c r="T807" s="83"/>
      <c r="U807" s="83"/>
      <c r="V807" s="83"/>
      <c r="W807" s="83"/>
      <c r="X807" s="83"/>
      <c r="Y807" s="83"/>
      <c r="Z807" s="83"/>
    </row>
    <row r="808">
      <c r="T808" s="83"/>
      <c r="U808" s="83"/>
      <c r="V808" s="83"/>
      <c r="W808" s="83"/>
      <c r="X808" s="83"/>
      <c r="Y808" s="83"/>
      <c r="Z808" s="83"/>
    </row>
    <row r="809">
      <c r="T809" s="83"/>
      <c r="U809" s="83"/>
      <c r="V809" s="83"/>
      <c r="W809" s="83"/>
      <c r="X809" s="83"/>
      <c r="Y809" s="83"/>
      <c r="Z809" s="83"/>
    </row>
    <row r="810">
      <c r="T810" s="83"/>
      <c r="U810" s="83"/>
      <c r="V810" s="83"/>
      <c r="W810" s="83"/>
      <c r="X810" s="83"/>
      <c r="Y810" s="83"/>
      <c r="Z810" s="83"/>
    </row>
    <row r="811">
      <c r="T811" s="83"/>
      <c r="U811" s="83"/>
      <c r="V811" s="83"/>
      <c r="W811" s="83"/>
      <c r="X811" s="83"/>
      <c r="Y811" s="83"/>
      <c r="Z811" s="83"/>
    </row>
    <row r="812">
      <c r="T812" s="83"/>
      <c r="U812" s="83"/>
      <c r="V812" s="83"/>
      <c r="W812" s="83"/>
      <c r="X812" s="83"/>
      <c r="Y812" s="83"/>
      <c r="Z812" s="83"/>
    </row>
    <row r="813">
      <c r="T813" s="83"/>
      <c r="U813" s="83"/>
      <c r="V813" s="83"/>
      <c r="W813" s="83"/>
      <c r="X813" s="83"/>
      <c r="Y813" s="83"/>
      <c r="Z813" s="83"/>
    </row>
    <row r="814">
      <c r="T814" s="83"/>
      <c r="U814" s="83"/>
      <c r="V814" s="83"/>
      <c r="W814" s="83"/>
      <c r="X814" s="83"/>
      <c r="Y814" s="83"/>
      <c r="Z814" s="83"/>
    </row>
    <row r="815">
      <c r="T815" s="83"/>
      <c r="U815" s="83"/>
      <c r="V815" s="83"/>
      <c r="W815" s="83"/>
      <c r="X815" s="83"/>
      <c r="Y815" s="83"/>
      <c r="Z815" s="83"/>
    </row>
    <row r="816">
      <c r="T816" s="83"/>
      <c r="U816" s="83"/>
      <c r="V816" s="83"/>
      <c r="W816" s="83"/>
      <c r="X816" s="83"/>
      <c r="Y816" s="83"/>
      <c r="Z816" s="83"/>
    </row>
    <row r="817">
      <c r="T817" s="83"/>
      <c r="U817" s="83"/>
      <c r="V817" s="83"/>
      <c r="W817" s="83"/>
      <c r="X817" s="83"/>
      <c r="Y817" s="83"/>
      <c r="Z817" s="83"/>
    </row>
    <row r="818">
      <c r="T818" s="83"/>
      <c r="U818" s="83"/>
      <c r="V818" s="83"/>
      <c r="W818" s="83"/>
      <c r="X818" s="83"/>
      <c r="Y818" s="83"/>
      <c r="Z818" s="83"/>
    </row>
    <row r="819">
      <c r="T819" s="83"/>
      <c r="U819" s="83"/>
      <c r="V819" s="83"/>
      <c r="W819" s="83"/>
      <c r="X819" s="83"/>
      <c r="Y819" s="83"/>
      <c r="Z819" s="83"/>
    </row>
    <row r="820">
      <c r="T820" s="83"/>
      <c r="U820" s="83"/>
      <c r="V820" s="83"/>
      <c r="W820" s="83"/>
      <c r="X820" s="83"/>
      <c r="Y820" s="83"/>
      <c r="Z820" s="83"/>
    </row>
    <row r="821">
      <c r="T821" s="83"/>
      <c r="U821" s="83"/>
      <c r="V821" s="83"/>
      <c r="W821" s="83"/>
      <c r="X821" s="83"/>
      <c r="Y821" s="83"/>
      <c r="Z821" s="83"/>
    </row>
    <row r="822">
      <c r="T822" s="83"/>
      <c r="U822" s="83"/>
      <c r="V822" s="83"/>
      <c r="W822" s="83"/>
      <c r="X822" s="83"/>
      <c r="Y822" s="83"/>
      <c r="Z822" s="83"/>
    </row>
    <row r="823">
      <c r="T823" s="83"/>
      <c r="U823" s="83"/>
      <c r="V823" s="83"/>
      <c r="W823" s="83"/>
      <c r="X823" s="83"/>
      <c r="Y823" s="83"/>
      <c r="Z823" s="83"/>
    </row>
    <row r="824">
      <c r="T824" s="83"/>
      <c r="U824" s="83"/>
      <c r="V824" s="83"/>
      <c r="W824" s="83"/>
      <c r="X824" s="83"/>
      <c r="Y824" s="83"/>
      <c r="Z824" s="83"/>
    </row>
    <row r="825">
      <c r="T825" s="83"/>
      <c r="U825" s="83"/>
      <c r="V825" s="83"/>
      <c r="W825" s="83"/>
      <c r="X825" s="83"/>
      <c r="Y825" s="83"/>
      <c r="Z825" s="83"/>
    </row>
    <row r="826">
      <c r="T826" s="83"/>
      <c r="U826" s="83"/>
      <c r="V826" s="83"/>
      <c r="W826" s="83"/>
      <c r="X826" s="83"/>
      <c r="Y826" s="83"/>
      <c r="Z826" s="83"/>
    </row>
    <row r="827">
      <c r="T827" s="83"/>
      <c r="U827" s="83"/>
      <c r="V827" s="83"/>
      <c r="W827" s="83"/>
      <c r="X827" s="83"/>
      <c r="Y827" s="83"/>
      <c r="Z827" s="83"/>
    </row>
    <row r="828">
      <c r="T828" s="83"/>
      <c r="U828" s="83"/>
      <c r="V828" s="83"/>
      <c r="W828" s="83"/>
      <c r="X828" s="83"/>
      <c r="Y828" s="83"/>
      <c r="Z828" s="83"/>
    </row>
    <row r="829">
      <c r="T829" s="83"/>
      <c r="U829" s="83"/>
      <c r="V829" s="83"/>
      <c r="W829" s="83"/>
      <c r="X829" s="83"/>
      <c r="Y829" s="83"/>
      <c r="Z829" s="83"/>
    </row>
    <row r="830">
      <c r="T830" s="83"/>
      <c r="U830" s="83"/>
      <c r="V830" s="83"/>
      <c r="W830" s="83"/>
      <c r="X830" s="83"/>
      <c r="Y830" s="83"/>
      <c r="Z830" s="83"/>
    </row>
    <row r="831">
      <c r="T831" s="83"/>
      <c r="U831" s="83"/>
      <c r="V831" s="83"/>
      <c r="W831" s="83"/>
      <c r="X831" s="83"/>
      <c r="Y831" s="83"/>
      <c r="Z831" s="83"/>
    </row>
    <row r="832">
      <c r="T832" s="83"/>
      <c r="U832" s="83"/>
      <c r="V832" s="83"/>
      <c r="W832" s="83"/>
      <c r="X832" s="83"/>
      <c r="Y832" s="83"/>
      <c r="Z832" s="83"/>
    </row>
    <row r="833">
      <c r="T833" s="83"/>
      <c r="U833" s="83"/>
      <c r="V833" s="83"/>
      <c r="W833" s="83"/>
      <c r="X833" s="83"/>
      <c r="Y833" s="83"/>
      <c r="Z833" s="83"/>
    </row>
    <row r="834">
      <c r="T834" s="83"/>
      <c r="U834" s="83"/>
      <c r="V834" s="83"/>
      <c r="W834" s="83"/>
      <c r="X834" s="83"/>
      <c r="Y834" s="83"/>
      <c r="Z834" s="83"/>
    </row>
    <row r="835">
      <c r="T835" s="83"/>
      <c r="U835" s="83"/>
      <c r="V835" s="83"/>
      <c r="W835" s="83"/>
      <c r="X835" s="83"/>
      <c r="Y835" s="83"/>
      <c r="Z835" s="83"/>
    </row>
    <row r="836">
      <c r="T836" s="83"/>
      <c r="U836" s="83"/>
      <c r="V836" s="83"/>
      <c r="W836" s="83"/>
      <c r="X836" s="83"/>
      <c r="Y836" s="83"/>
      <c r="Z836" s="83"/>
    </row>
    <row r="837">
      <c r="T837" s="83"/>
      <c r="U837" s="83"/>
      <c r="V837" s="83"/>
      <c r="W837" s="83"/>
      <c r="X837" s="83"/>
      <c r="Y837" s="83"/>
      <c r="Z837" s="83"/>
    </row>
    <row r="838">
      <c r="T838" s="83"/>
      <c r="U838" s="83"/>
      <c r="V838" s="83"/>
      <c r="W838" s="83"/>
      <c r="X838" s="83"/>
      <c r="Y838" s="83"/>
      <c r="Z838" s="83"/>
    </row>
    <row r="839">
      <c r="T839" s="83"/>
      <c r="U839" s="83"/>
      <c r="V839" s="83"/>
      <c r="W839" s="83"/>
      <c r="X839" s="83"/>
      <c r="Y839" s="83"/>
      <c r="Z839" s="83"/>
    </row>
    <row r="840">
      <c r="T840" s="83"/>
      <c r="U840" s="83"/>
      <c r="V840" s="83"/>
      <c r="W840" s="83"/>
      <c r="X840" s="83"/>
      <c r="Y840" s="83"/>
      <c r="Z840" s="83"/>
    </row>
    <row r="841">
      <c r="T841" s="83"/>
      <c r="U841" s="83"/>
      <c r="V841" s="83"/>
      <c r="W841" s="83"/>
      <c r="X841" s="83"/>
      <c r="Y841" s="83"/>
      <c r="Z841" s="83"/>
    </row>
    <row r="842">
      <c r="T842" s="83"/>
      <c r="U842" s="83"/>
      <c r="V842" s="83"/>
      <c r="W842" s="83"/>
      <c r="X842" s="83"/>
      <c r="Y842" s="83"/>
      <c r="Z842" s="83"/>
    </row>
    <row r="843">
      <c r="T843" s="83"/>
      <c r="U843" s="83"/>
      <c r="V843" s="83"/>
      <c r="W843" s="83"/>
      <c r="X843" s="83"/>
      <c r="Y843" s="83"/>
      <c r="Z843" s="83"/>
    </row>
    <row r="844">
      <c r="T844" s="83"/>
      <c r="U844" s="83"/>
      <c r="V844" s="83"/>
      <c r="W844" s="83"/>
      <c r="X844" s="83"/>
      <c r="Y844" s="83"/>
      <c r="Z844" s="83"/>
    </row>
    <row r="845">
      <c r="T845" s="83"/>
      <c r="U845" s="83"/>
      <c r="V845" s="83"/>
      <c r="W845" s="83"/>
      <c r="X845" s="83"/>
      <c r="Y845" s="83"/>
      <c r="Z845" s="83"/>
    </row>
    <row r="846">
      <c r="T846" s="83"/>
      <c r="U846" s="83"/>
      <c r="V846" s="83"/>
      <c r="W846" s="83"/>
      <c r="X846" s="83"/>
      <c r="Y846" s="83"/>
      <c r="Z846" s="83"/>
    </row>
    <row r="847">
      <c r="T847" s="83"/>
      <c r="U847" s="83"/>
      <c r="V847" s="83"/>
      <c r="W847" s="83"/>
      <c r="X847" s="83"/>
      <c r="Y847" s="83"/>
      <c r="Z847" s="83"/>
    </row>
    <row r="848">
      <c r="T848" s="83"/>
      <c r="U848" s="83"/>
      <c r="V848" s="83"/>
      <c r="W848" s="83"/>
      <c r="X848" s="83"/>
      <c r="Y848" s="83"/>
      <c r="Z848" s="83"/>
    </row>
    <row r="849">
      <c r="T849" s="83"/>
      <c r="U849" s="83"/>
      <c r="V849" s="83"/>
      <c r="W849" s="83"/>
      <c r="X849" s="83"/>
      <c r="Y849" s="83"/>
      <c r="Z849" s="83"/>
    </row>
    <row r="850">
      <c r="T850" s="83"/>
      <c r="U850" s="83"/>
      <c r="V850" s="83"/>
      <c r="W850" s="83"/>
      <c r="X850" s="83"/>
      <c r="Y850" s="83"/>
      <c r="Z850" s="83"/>
    </row>
    <row r="851">
      <c r="T851" s="83"/>
      <c r="U851" s="83"/>
      <c r="V851" s="83"/>
      <c r="W851" s="83"/>
      <c r="X851" s="83"/>
      <c r="Y851" s="83"/>
      <c r="Z851" s="83"/>
    </row>
    <row r="852">
      <c r="T852" s="83"/>
      <c r="U852" s="83"/>
      <c r="V852" s="83"/>
      <c r="W852" s="83"/>
      <c r="X852" s="83"/>
      <c r="Y852" s="83"/>
      <c r="Z852" s="83"/>
    </row>
    <row r="853">
      <c r="T853" s="83"/>
      <c r="U853" s="83"/>
      <c r="V853" s="83"/>
      <c r="W853" s="83"/>
      <c r="X853" s="83"/>
      <c r="Y853" s="83"/>
      <c r="Z853" s="83"/>
    </row>
    <row r="854">
      <c r="T854" s="83"/>
      <c r="U854" s="83"/>
      <c r="V854" s="83"/>
      <c r="W854" s="83"/>
      <c r="X854" s="83"/>
      <c r="Y854" s="83"/>
      <c r="Z854" s="83"/>
    </row>
    <row r="855">
      <c r="T855" s="83"/>
      <c r="U855" s="83"/>
      <c r="V855" s="83"/>
      <c r="W855" s="83"/>
      <c r="X855" s="83"/>
      <c r="Y855" s="83"/>
      <c r="Z855" s="83"/>
    </row>
    <row r="856">
      <c r="T856" s="83"/>
      <c r="U856" s="83"/>
      <c r="V856" s="83"/>
      <c r="W856" s="83"/>
      <c r="X856" s="83"/>
      <c r="Y856" s="83"/>
      <c r="Z856" s="83"/>
    </row>
    <row r="857">
      <c r="T857" s="83"/>
      <c r="U857" s="83"/>
      <c r="V857" s="83"/>
      <c r="W857" s="83"/>
      <c r="X857" s="83"/>
      <c r="Y857" s="83"/>
      <c r="Z857" s="83"/>
    </row>
    <row r="858">
      <c r="T858" s="83"/>
      <c r="U858" s="83"/>
      <c r="V858" s="83"/>
      <c r="W858" s="83"/>
      <c r="X858" s="83"/>
      <c r="Y858" s="83"/>
      <c r="Z858" s="83"/>
    </row>
    <row r="859">
      <c r="T859" s="83"/>
      <c r="U859" s="83"/>
      <c r="V859" s="83"/>
      <c r="W859" s="83"/>
      <c r="X859" s="83"/>
      <c r="Y859" s="83"/>
      <c r="Z859" s="83"/>
    </row>
    <row r="860">
      <c r="T860" s="83"/>
      <c r="U860" s="83"/>
      <c r="V860" s="83"/>
      <c r="W860" s="83"/>
      <c r="X860" s="83"/>
      <c r="Y860" s="83"/>
      <c r="Z860" s="83"/>
    </row>
    <row r="861">
      <c r="T861" s="83"/>
      <c r="U861" s="83"/>
      <c r="V861" s="83"/>
      <c r="W861" s="83"/>
      <c r="X861" s="83"/>
      <c r="Y861" s="83"/>
      <c r="Z861" s="83"/>
    </row>
    <row r="862">
      <c r="T862" s="83"/>
      <c r="U862" s="83"/>
      <c r="V862" s="83"/>
      <c r="W862" s="83"/>
      <c r="X862" s="83"/>
      <c r="Y862" s="83"/>
      <c r="Z862" s="83"/>
    </row>
    <row r="863">
      <c r="T863" s="83"/>
      <c r="U863" s="83"/>
      <c r="V863" s="83"/>
      <c r="W863" s="83"/>
      <c r="X863" s="83"/>
      <c r="Y863" s="83"/>
      <c r="Z863" s="83"/>
    </row>
    <row r="864">
      <c r="T864" s="83"/>
      <c r="U864" s="83"/>
      <c r="V864" s="83"/>
      <c r="W864" s="83"/>
      <c r="X864" s="83"/>
      <c r="Y864" s="83"/>
      <c r="Z864" s="83"/>
    </row>
    <row r="865">
      <c r="T865" s="83"/>
      <c r="U865" s="83"/>
      <c r="V865" s="83"/>
      <c r="W865" s="83"/>
      <c r="X865" s="83"/>
      <c r="Y865" s="83"/>
      <c r="Z865" s="83"/>
    </row>
    <row r="866">
      <c r="T866" s="83"/>
      <c r="U866" s="83"/>
      <c r="V866" s="83"/>
      <c r="W866" s="83"/>
      <c r="X866" s="83"/>
      <c r="Y866" s="83"/>
      <c r="Z866" s="83"/>
    </row>
    <row r="867">
      <c r="T867" s="83"/>
      <c r="U867" s="83"/>
      <c r="V867" s="83"/>
      <c r="W867" s="83"/>
      <c r="X867" s="83"/>
      <c r="Y867" s="83"/>
      <c r="Z867" s="83"/>
    </row>
    <row r="868">
      <c r="T868" s="83"/>
      <c r="U868" s="83"/>
      <c r="V868" s="83"/>
      <c r="W868" s="83"/>
      <c r="X868" s="83"/>
      <c r="Y868" s="83"/>
      <c r="Z868" s="83"/>
    </row>
    <row r="869">
      <c r="T869" s="83"/>
      <c r="U869" s="83"/>
      <c r="V869" s="83"/>
      <c r="W869" s="83"/>
      <c r="X869" s="83"/>
      <c r="Y869" s="83"/>
      <c r="Z869" s="83"/>
    </row>
    <row r="870">
      <c r="T870" s="83"/>
      <c r="U870" s="83"/>
      <c r="V870" s="83"/>
      <c r="W870" s="83"/>
      <c r="X870" s="83"/>
      <c r="Y870" s="83"/>
      <c r="Z870" s="83"/>
    </row>
    <row r="871">
      <c r="T871" s="83"/>
      <c r="U871" s="83"/>
      <c r="V871" s="83"/>
      <c r="W871" s="83"/>
      <c r="X871" s="83"/>
      <c r="Y871" s="83"/>
      <c r="Z871" s="83"/>
    </row>
    <row r="872">
      <c r="T872" s="83"/>
      <c r="U872" s="83"/>
      <c r="V872" s="83"/>
      <c r="W872" s="83"/>
      <c r="X872" s="83"/>
      <c r="Y872" s="83"/>
      <c r="Z872" s="83"/>
    </row>
    <row r="873">
      <c r="T873" s="83"/>
      <c r="U873" s="83"/>
      <c r="V873" s="83"/>
      <c r="W873" s="83"/>
      <c r="X873" s="83"/>
      <c r="Y873" s="83"/>
      <c r="Z873" s="83"/>
    </row>
    <row r="874">
      <c r="T874" s="83"/>
      <c r="U874" s="83"/>
      <c r="V874" s="83"/>
      <c r="W874" s="83"/>
      <c r="X874" s="83"/>
      <c r="Y874" s="83"/>
      <c r="Z874" s="83"/>
    </row>
    <row r="875">
      <c r="T875" s="83"/>
      <c r="U875" s="83"/>
      <c r="V875" s="83"/>
      <c r="W875" s="83"/>
      <c r="X875" s="83"/>
      <c r="Y875" s="83"/>
      <c r="Z875" s="83"/>
    </row>
    <row r="876">
      <c r="T876" s="83"/>
      <c r="U876" s="83"/>
      <c r="V876" s="83"/>
      <c r="W876" s="83"/>
      <c r="X876" s="83"/>
      <c r="Y876" s="83"/>
      <c r="Z876" s="83"/>
    </row>
    <row r="877">
      <c r="T877" s="83"/>
      <c r="U877" s="83"/>
      <c r="V877" s="83"/>
      <c r="W877" s="83"/>
      <c r="X877" s="83"/>
      <c r="Y877" s="83"/>
      <c r="Z877" s="83"/>
    </row>
    <row r="878">
      <c r="T878" s="83"/>
      <c r="U878" s="83"/>
      <c r="V878" s="83"/>
      <c r="W878" s="83"/>
      <c r="X878" s="83"/>
      <c r="Y878" s="83"/>
      <c r="Z878" s="83"/>
    </row>
    <row r="879">
      <c r="T879" s="83"/>
      <c r="U879" s="83"/>
      <c r="V879" s="83"/>
      <c r="W879" s="83"/>
      <c r="X879" s="83"/>
      <c r="Y879" s="83"/>
      <c r="Z879" s="83"/>
    </row>
    <row r="880">
      <c r="T880" s="83"/>
      <c r="U880" s="83"/>
      <c r="V880" s="83"/>
      <c r="W880" s="83"/>
      <c r="X880" s="83"/>
      <c r="Y880" s="83"/>
      <c r="Z880" s="83"/>
    </row>
    <row r="881">
      <c r="T881" s="83"/>
      <c r="U881" s="83"/>
      <c r="V881" s="83"/>
      <c r="W881" s="83"/>
      <c r="X881" s="83"/>
      <c r="Y881" s="83"/>
      <c r="Z881" s="83"/>
    </row>
    <row r="882">
      <c r="T882" s="83"/>
      <c r="U882" s="83"/>
      <c r="V882" s="83"/>
      <c r="W882" s="83"/>
      <c r="X882" s="83"/>
      <c r="Y882" s="83"/>
      <c r="Z882" s="83"/>
    </row>
    <row r="883">
      <c r="T883" s="83"/>
      <c r="U883" s="83"/>
      <c r="V883" s="83"/>
      <c r="W883" s="83"/>
      <c r="X883" s="83"/>
      <c r="Y883" s="83"/>
      <c r="Z883" s="83"/>
    </row>
    <row r="884">
      <c r="T884" s="83"/>
      <c r="U884" s="83"/>
      <c r="V884" s="83"/>
      <c r="W884" s="83"/>
      <c r="X884" s="83"/>
      <c r="Y884" s="83"/>
      <c r="Z884" s="83"/>
    </row>
    <row r="885">
      <c r="T885" s="83"/>
      <c r="U885" s="83"/>
      <c r="V885" s="83"/>
      <c r="W885" s="83"/>
      <c r="X885" s="83"/>
      <c r="Y885" s="83"/>
      <c r="Z885" s="83"/>
    </row>
    <row r="886">
      <c r="T886" s="83"/>
      <c r="U886" s="83"/>
      <c r="V886" s="83"/>
      <c r="W886" s="83"/>
      <c r="X886" s="83"/>
      <c r="Y886" s="83"/>
      <c r="Z886" s="83"/>
    </row>
    <row r="887">
      <c r="T887" s="83"/>
      <c r="U887" s="83"/>
      <c r="V887" s="83"/>
      <c r="W887" s="83"/>
      <c r="X887" s="83"/>
      <c r="Y887" s="83"/>
      <c r="Z887" s="83"/>
    </row>
    <row r="888">
      <c r="T888" s="83"/>
      <c r="U888" s="83"/>
      <c r="V888" s="83"/>
      <c r="W888" s="83"/>
      <c r="X888" s="83"/>
      <c r="Y888" s="83"/>
      <c r="Z888" s="83"/>
    </row>
    <row r="889">
      <c r="T889" s="83"/>
      <c r="U889" s="83"/>
      <c r="V889" s="83"/>
      <c r="W889" s="83"/>
      <c r="X889" s="83"/>
      <c r="Y889" s="83"/>
      <c r="Z889" s="83"/>
    </row>
    <row r="890">
      <c r="T890" s="83"/>
      <c r="U890" s="83"/>
      <c r="V890" s="83"/>
      <c r="W890" s="83"/>
      <c r="X890" s="83"/>
      <c r="Y890" s="83"/>
      <c r="Z890" s="83"/>
    </row>
    <row r="891">
      <c r="T891" s="83"/>
      <c r="U891" s="83"/>
      <c r="V891" s="83"/>
      <c r="W891" s="83"/>
      <c r="X891" s="83"/>
      <c r="Y891" s="83"/>
      <c r="Z891" s="83"/>
    </row>
    <row r="892">
      <c r="T892" s="83"/>
      <c r="U892" s="83"/>
      <c r="V892" s="83"/>
      <c r="W892" s="83"/>
      <c r="X892" s="83"/>
      <c r="Y892" s="83"/>
      <c r="Z892" s="83"/>
    </row>
    <row r="893">
      <c r="T893" s="83"/>
      <c r="U893" s="83"/>
      <c r="V893" s="83"/>
      <c r="W893" s="83"/>
      <c r="X893" s="83"/>
      <c r="Y893" s="83"/>
      <c r="Z893" s="83"/>
    </row>
    <row r="894">
      <c r="T894" s="83"/>
      <c r="U894" s="83"/>
      <c r="V894" s="83"/>
      <c r="W894" s="83"/>
      <c r="X894" s="83"/>
      <c r="Y894" s="83"/>
      <c r="Z894" s="83"/>
    </row>
    <row r="895">
      <c r="T895" s="83"/>
      <c r="U895" s="83"/>
      <c r="V895" s="83"/>
      <c r="W895" s="83"/>
      <c r="X895" s="83"/>
      <c r="Y895" s="83"/>
      <c r="Z895" s="83"/>
    </row>
    <row r="896">
      <c r="T896" s="83"/>
      <c r="U896" s="83"/>
      <c r="V896" s="83"/>
      <c r="W896" s="83"/>
      <c r="X896" s="83"/>
      <c r="Y896" s="83"/>
      <c r="Z896" s="83"/>
    </row>
    <row r="897">
      <c r="T897" s="83"/>
      <c r="U897" s="83"/>
      <c r="V897" s="83"/>
      <c r="W897" s="83"/>
      <c r="X897" s="83"/>
      <c r="Y897" s="83"/>
      <c r="Z897" s="83"/>
    </row>
    <row r="898">
      <c r="T898" s="83"/>
      <c r="U898" s="83"/>
      <c r="V898" s="83"/>
      <c r="W898" s="83"/>
      <c r="X898" s="83"/>
      <c r="Y898" s="83"/>
      <c r="Z898" s="83"/>
    </row>
    <row r="899">
      <c r="T899" s="83"/>
      <c r="U899" s="83"/>
      <c r="V899" s="83"/>
      <c r="W899" s="83"/>
      <c r="X899" s="83"/>
      <c r="Y899" s="83"/>
      <c r="Z899" s="83"/>
    </row>
    <row r="900">
      <c r="T900" s="83"/>
      <c r="U900" s="83"/>
      <c r="V900" s="83"/>
      <c r="W900" s="83"/>
      <c r="X900" s="83"/>
      <c r="Y900" s="83"/>
      <c r="Z900" s="83"/>
    </row>
    <row r="901">
      <c r="T901" s="83"/>
      <c r="U901" s="83"/>
      <c r="V901" s="83"/>
      <c r="W901" s="83"/>
      <c r="X901" s="83"/>
      <c r="Y901" s="83"/>
      <c r="Z901" s="83"/>
    </row>
    <row r="902">
      <c r="T902" s="83"/>
      <c r="U902" s="83"/>
      <c r="V902" s="83"/>
      <c r="W902" s="83"/>
      <c r="X902" s="83"/>
      <c r="Y902" s="83"/>
      <c r="Z902" s="83"/>
    </row>
    <row r="903">
      <c r="T903" s="83"/>
      <c r="U903" s="83"/>
      <c r="V903" s="83"/>
      <c r="W903" s="83"/>
      <c r="X903" s="83"/>
      <c r="Y903" s="83"/>
      <c r="Z903" s="83"/>
    </row>
    <row r="904">
      <c r="T904" s="83"/>
      <c r="U904" s="83"/>
      <c r="V904" s="83"/>
      <c r="W904" s="83"/>
      <c r="X904" s="83"/>
      <c r="Y904" s="83"/>
      <c r="Z904" s="83"/>
    </row>
    <row r="905">
      <c r="T905" s="83"/>
      <c r="U905" s="83"/>
      <c r="V905" s="83"/>
      <c r="W905" s="83"/>
      <c r="X905" s="83"/>
      <c r="Y905" s="83"/>
      <c r="Z905" s="83"/>
    </row>
    <row r="906">
      <c r="T906" s="83"/>
      <c r="U906" s="83"/>
      <c r="V906" s="83"/>
      <c r="W906" s="83"/>
      <c r="X906" s="83"/>
      <c r="Y906" s="83"/>
      <c r="Z906" s="83"/>
    </row>
    <row r="907">
      <c r="T907" s="83"/>
      <c r="U907" s="83"/>
      <c r="V907" s="83"/>
      <c r="W907" s="83"/>
      <c r="X907" s="83"/>
      <c r="Y907" s="83"/>
      <c r="Z907" s="83"/>
    </row>
    <row r="908">
      <c r="T908" s="83"/>
      <c r="U908" s="83"/>
      <c r="V908" s="83"/>
      <c r="W908" s="83"/>
      <c r="X908" s="83"/>
      <c r="Y908" s="83"/>
      <c r="Z908" s="83"/>
    </row>
    <row r="909">
      <c r="T909" s="83"/>
      <c r="U909" s="83"/>
      <c r="V909" s="83"/>
      <c r="W909" s="83"/>
      <c r="X909" s="83"/>
      <c r="Y909" s="83"/>
      <c r="Z909" s="83"/>
    </row>
    <row r="910">
      <c r="T910" s="83"/>
      <c r="U910" s="83"/>
      <c r="V910" s="83"/>
      <c r="W910" s="83"/>
      <c r="X910" s="83"/>
      <c r="Y910" s="83"/>
      <c r="Z910" s="83"/>
    </row>
    <row r="911">
      <c r="T911" s="83"/>
      <c r="U911" s="83"/>
      <c r="V911" s="83"/>
      <c r="W911" s="83"/>
      <c r="X911" s="83"/>
      <c r="Y911" s="83"/>
      <c r="Z911" s="83"/>
    </row>
    <row r="912">
      <c r="T912" s="83"/>
      <c r="U912" s="83"/>
      <c r="V912" s="83"/>
      <c r="W912" s="83"/>
      <c r="X912" s="83"/>
      <c r="Y912" s="83"/>
      <c r="Z912" s="83"/>
    </row>
    <row r="913">
      <c r="T913" s="83"/>
      <c r="U913" s="83"/>
      <c r="V913" s="83"/>
      <c r="W913" s="83"/>
      <c r="X913" s="83"/>
      <c r="Y913" s="83"/>
      <c r="Z913" s="83"/>
    </row>
    <row r="914">
      <c r="T914" s="83"/>
      <c r="U914" s="83"/>
      <c r="V914" s="83"/>
      <c r="W914" s="83"/>
      <c r="X914" s="83"/>
      <c r="Y914" s="83"/>
      <c r="Z914" s="83"/>
    </row>
    <row r="915">
      <c r="T915" s="83"/>
      <c r="U915" s="83"/>
      <c r="V915" s="83"/>
      <c r="W915" s="83"/>
      <c r="X915" s="83"/>
      <c r="Y915" s="83"/>
      <c r="Z915" s="83"/>
    </row>
    <row r="916">
      <c r="T916" s="83"/>
      <c r="U916" s="83"/>
      <c r="V916" s="83"/>
      <c r="W916" s="83"/>
      <c r="X916" s="83"/>
      <c r="Y916" s="83"/>
      <c r="Z916" s="83"/>
    </row>
    <row r="917">
      <c r="T917" s="83"/>
      <c r="U917" s="83"/>
      <c r="V917" s="83"/>
      <c r="W917" s="83"/>
      <c r="X917" s="83"/>
      <c r="Y917" s="83"/>
      <c r="Z917" s="83"/>
    </row>
    <row r="918">
      <c r="T918" s="83"/>
      <c r="U918" s="83"/>
      <c r="V918" s="83"/>
      <c r="W918" s="83"/>
      <c r="X918" s="83"/>
      <c r="Y918" s="83"/>
      <c r="Z918" s="83"/>
    </row>
    <row r="919">
      <c r="T919" s="83"/>
      <c r="U919" s="83"/>
      <c r="V919" s="83"/>
      <c r="W919" s="83"/>
      <c r="X919" s="83"/>
      <c r="Y919" s="83"/>
      <c r="Z919" s="83"/>
    </row>
    <row r="920">
      <c r="T920" s="83"/>
      <c r="U920" s="83"/>
      <c r="V920" s="83"/>
      <c r="W920" s="83"/>
      <c r="X920" s="83"/>
      <c r="Y920" s="83"/>
      <c r="Z920" s="83"/>
    </row>
    <row r="921">
      <c r="T921" s="83"/>
      <c r="U921" s="83"/>
      <c r="V921" s="83"/>
      <c r="W921" s="83"/>
      <c r="X921" s="83"/>
      <c r="Y921" s="83"/>
      <c r="Z921" s="83"/>
    </row>
    <row r="922">
      <c r="T922" s="83"/>
      <c r="U922" s="83"/>
      <c r="V922" s="83"/>
      <c r="W922" s="83"/>
      <c r="X922" s="83"/>
      <c r="Y922" s="83"/>
      <c r="Z922" s="83"/>
    </row>
    <row r="923">
      <c r="T923" s="83"/>
      <c r="U923" s="83"/>
      <c r="V923" s="83"/>
      <c r="W923" s="83"/>
      <c r="X923" s="83"/>
      <c r="Y923" s="83"/>
      <c r="Z923" s="83"/>
    </row>
    <row r="924">
      <c r="T924" s="83"/>
      <c r="U924" s="83"/>
      <c r="V924" s="83"/>
      <c r="W924" s="83"/>
      <c r="X924" s="83"/>
      <c r="Y924" s="83"/>
      <c r="Z924" s="83"/>
    </row>
    <row r="925">
      <c r="T925" s="83"/>
      <c r="U925" s="83"/>
      <c r="V925" s="83"/>
      <c r="W925" s="83"/>
      <c r="X925" s="83"/>
      <c r="Y925" s="83"/>
      <c r="Z925" s="83"/>
    </row>
    <row r="926">
      <c r="T926" s="83"/>
      <c r="U926" s="83"/>
      <c r="V926" s="83"/>
      <c r="W926" s="83"/>
      <c r="X926" s="83"/>
      <c r="Y926" s="83"/>
      <c r="Z926" s="83"/>
    </row>
    <row r="927">
      <c r="T927" s="83"/>
      <c r="U927" s="83"/>
      <c r="V927" s="83"/>
      <c r="W927" s="83"/>
      <c r="X927" s="83"/>
      <c r="Y927" s="83"/>
      <c r="Z927" s="83"/>
    </row>
    <row r="928">
      <c r="T928" s="83"/>
      <c r="U928" s="83"/>
      <c r="V928" s="83"/>
      <c r="W928" s="83"/>
      <c r="X928" s="83"/>
      <c r="Y928" s="83"/>
      <c r="Z928" s="83"/>
    </row>
    <row r="929">
      <c r="T929" s="83"/>
      <c r="U929" s="83"/>
      <c r="V929" s="83"/>
      <c r="W929" s="83"/>
      <c r="X929" s="83"/>
      <c r="Y929" s="83"/>
      <c r="Z929" s="83"/>
    </row>
    <row r="930">
      <c r="T930" s="83"/>
      <c r="U930" s="83"/>
      <c r="V930" s="83"/>
      <c r="W930" s="83"/>
      <c r="X930" s="83"/>
      <c r="Y930" s="83"/>
      <c r="Z930" s="83"/>
    </row>
    <row r="931">
      <c r="T931" s="83"/>
      <c r="U931" s="83"/>
      <c r="V931" s="83"/>
      <c r="W931" s="83"/>
      <c r="X931" s="83"/>
      <c r="Y931" s="83"/>
      <c r="Z931" s="83"/>
    </row>
    <row r="932">
      <c r="T932" s="83"/>
      <c r="U932" s="83"/>
      <c r="V932" s="83"/>
      <c r="W932" s="83"/>
      <c r="X932" s="83"/>
      <c r="Y932" s="83"/>
      <c r="Z932" s="83"/>
    </row>
    <row r="933">
      <c r="T933" s="83"/>
      <c r="U933" s="83"/>
      <c r="V933" s="83"/>
      <c r="W933" s="83"/>
      <c r="X933" s="83"/>
      <c r="Y933" s="83"/>
      <c r="Z933" s="83"/>
    </row>
    <row r="934">
      <c r="T934" s="83"/>
      <c r="U934" s="83"/>
      <c r="V934" s="83"/>
      <c r="W934" s="83"/>
      <c r="X934" s="83"/>
      <c r="Y934" s="83"/>
      <c r="Z934" s="83"/>
    </row>
    <row r="935">
      <c r="T935" s="83"/>
      <c r="U935" s="83"/>
      <c r="V935" s="83"/>
      <c r="W935" s="83"/>
      <c r="X935" s="83"/>
      <c r="Y935" s="83"/>
      <c r="Z935" s="83"/>
    </row>
    <row r="936">
      <c r="T936" s="83"/>
      <c r="U936" s="83"/>
      <c r="V936" s="83"/>
      <c r="W936" s="83"/>
      <c r="X936" s="83"/>
      <c r="Y936" s="83"/>
      <c r="Z936" s="83"/>
    </row>
    <row r="937">
      <c r="T937" s="83"/>
      <c r="U937" s="83"/>
      <c r="V937" s="83"/>
      <c r="W937" s="83"/>
      <c r="X937" s="83"/>
      <c r="Y937" s="83"/>
      <c r="Z937" s="83"/>
    </row>
    <row r="938">
      <c r="T938" s="83"/>
      <c r="U938" s="83"/>
      <c r="V938" s="83"/>
      <c r="W938" s="83"/>
      <c r="X938" s="83"/>
      <c r="Y938" s="83"/>
      <c r="Z938" s="83"/>
    </row>
    <row r="939">
      <c r="T939" s="83"/>
      <c r="U939" s="83"/>
      <c r="V939" s="83"/>
      <c r="W939" s="83"/>
      <c r="X939" s="83"/>
      <c r="Y939" s="83"/>
      <c r="Z939" s="83"/>
    </row>
    <row r="940">
      <c r="T940" s="83"/>
      <c r="U940" s="83"/>
      <c r="V940" s="83"/>
      <c r="W940" s="83"/>
      <c r="X940" s="83"/>
      <c r="Y940" s="83"/>
      <c r="Z940" s="83"/>
    </row>
    <row r="941">
      <c r="T941" s="83"/>
      <c r="U941" s="83"/>
      <c r="V941" s="83"/>
      <c r="W941" s="83"/>
      <c r="X941" s="83"/>
      <c r="Y941" s="83"/>
      <c r="Z941" s="83"/>
    </row>
    <row r="942">
      <c r="T942" s="83"/>
      <c r="U942" s="83"/>
      <c r="V942" s="83"/>
      <c r="W942" s="83"/>
      <c r="X942" s="83"/>
      <c r="Y942" s="83"/>
      <c r="Z942" s="83"/>
    </row>
    <row r="943">
      <c r="T943" s="83"/>
      <c r="U943" s="83"/>
      <c r="V943" s="83"/>
      <c r="W943" s="83"/>
      <c r="X943" s="83"/>
      <c r="Y943" s="83"/>
      <c r="Z943" s="83"/>
    </row>
    <row r="944">
      <c r="T944" s="83"/>
      <c r="U944" s="83"/>
      <c r="V944" s="83"/>
      <c r="W944" s="83"/>
      <c r="X944" s="83"/>
      <c r="Y944" s="83"/>
      <c r="Z944" s="83"/>
    </row>
    <row r="945">
      <c r="T945" s="83"/>
      <c r="U945" s="83"/>
      <c r="V945" s="83"/>
      <c r="W945" s="83"/>
      <c r="X945" s="83"/>
      <c r="Y945" s="83"/>
      <c r="Z945" s="83"/>
    </row>
    <row r="946">
      <c r="T946" s="83"/>
      <c r="U946" s="83"/>
      <c r="V946" s="83"/>
      <c r="W946" s="83"/>
      <c r="X946" s="83"/>
      <c r="Y946" s="83"/>
      <c r="Z946" s="83"/>
    </row>
    <row r="947">
      <c r="T947" s="83"/>
      <c r="U947" s="83"/>
      <c r="V947" s="83"/>
      <c r="W947" s="83"/>
      <c r="X947" s="83"/>
      <c r="Y947" s="83"/>
      <c r="Z947" s="83"/>
    </row>
    <row r="948">
      <c r="T948" s="83"/>
      <c r="U948" s="83"/>
      <c r="V948" s="83"/>
      <c r="W948" s="83"/>
      <c r="X948" s="83"/>
      <c r="Y948" s="83"/>
      <c r="Z948" s="83"/>
    </row>
    <row r="949">
      <c r="T949" s="83"/>
      <c r="U949" s="83"/>
      <c r="V949" s="83"/>
      <c r="W949" s="83"/>
      <c r="X949" s="83"/>
      <c r="Y949" s="83"/>
      <c r="Z949" s="83"/>
    </row>
    <row r="950">
      <c r="T950" s="83"/>
      <c r="U950" s="83"/>
      <c r="V950" s="83"/>
      <c r="W950" s="83"/>
      <c r="X950" s="83"/>
      <c r="Y950" s="83"/>
      <c r="Z950" s="83"/>
    </row>
    <row r="951">
      <c r="T951" s="83"/>
      <c r="U951" s="83"/>
      <c r="V951" s="83"/>
      <c r="W951" s="83"/>
      <c r="X951" s="83"/>
      <c r="Y951" s="83"/>
      <c r="Z951" s="83"/>
    </row>
    <row r="952">
      <c r="T952" s="83"/>
      <c r="U952" s="83"/>
      <c r="V952" s="83"/>
      <c r="W952" s="83"/>
      <c r="X952" s="83"/>
      <c r="Y952" s="83"/>
      <c r="Z952" s="83"/>
    </row>
    <row r="953">
      <c r="T953" s="83"/>
      <c r="U953" s="83"/>
      <c r="V953" s="83"/>
      <c r="W953" s="83"/>
      <c r="X953" s="83"/>
      <c r="Y953" s="83"/>
      <c r="Z953" s="83"/>
    </row>
    <row r="954">
      <c r="T954" s="83"/>
      <c r="U954" s="83"/>
      <c r="V954" s="83"/>
      <c r="W954" s="83"/>
      <c r="X954" s="83"/>
      <c r="Y954" s="83"/>
      <c r="Z954" s="83"/>
    </row>
    <row r="955">
      <c r="T955" s="83"/>
      <c r="U955" s="83"/>
      <c r="V955" s="83"/>
      <c r="W955" s="83"/>
      <c r="X955" s="83"/>
      <c r="Y955" s="83"/>
      <c r="Z955" s="83"/>
    </row>
    <row r="956">
      <c r="T956" s="83"/>
      <c r="U956" s="83"/>
      <c r="V956" s="83"/>
      <c r="W956" s="83"/>
      <c r="X956" s="83"/>
      <c r="Y956" s="83"/>
      <c r="Z956" s="83"/>
    </row>
    <row r="957">
      <c r="T957" s="83"/>
      <c r="U957" s="83"/>
      <c r="V957" s="83"/>
      <c r="W957" s="83"/>
      <c r="X957" s="83"/>
      <c r="Y957" s="83"/>
      <c r="Z957" s="83"/>
    </row>
    <row r="958">
      <c r="T958" s="83"/>
      <c r="U958" s="83"/>
      <c r="V958" s="83"/>
      <c r="W958" s="83"/>
      <c r="X958" s="83"/>
      <c r="Y958" s="83"/>
      <c r="Z958" s="83"/>
    </row>
    <row r="959">
      <c r="T959" s="83"/>
      <c r="U959" s="83"/>
      <c r="V959" s="83"/>
      <c r="W959" s="83"/>
      <c r="X959" s="83"/>
      <c r="Y959" s="83"/>
      <c r="Z959" s="83"/>
    </row>
    <row r="960">
      <c r="T960" s="83"/>
      <c r="U960" s="83"/>
      <c r="V960" s="83"/>
      <c r="W960" s="83"/>
      <c r="X960" s="83"/>
      <c r="Y960" s="83"/>
      <c r="Z960" s="83"/>
    </row>
    <row r="961">
      <c r="T961" s="83"/>
      <c r="U961" s="83"/>
      <c r="V961" s="83"/>
      <c r="W961" s="83"/>
      <c r="X961" s="83"/>
      <c r="Y961" s="83"/>
      <c r="Z961" s="83"/>
    </row>
    <row r="962">
      <c r="T962" s="83"/>
      <c r="U962" s="83"/>
      <c r="V962" s="83"/>
      <c r="W962" s="83"/>
      <c r="X962" s="83"/>
      <c r="Y962" s="83"/>
      <c r="Z962" s="83"/>
    </row>
    <row r="963">
      <c r="T963" s="83"/>
      <c r="U963" s="83"/>
      <c r="V963" s="83"/>
      <c r="W963" s="83"/>
      <c r="X963" s="83"/>
      <c r="Y963" s="83"/>
      <c r="Z963" s="83"/>
    </row>
    <row r="964">
      <c r="T964" s="83"/>
      <c r="U964" s="83"/>
      <c r="V964" s="83"/>
      <c r="W964" s="83"/>
      <c r="X964" s="83"/>
      <c r="Y964" s="83"/>
      <c r="Z964" s="83"/>
    </row>
    <row r="965">
      <c r="T965" s="83"/>
      <c r="U965" s="83"/>
      <c r="V965" s="83"/>
      <c r="W965" s="83"/>
      <c r="X965" s="83"/>
      <c r="Y965" s="83"/>
      <c r="Z965" s="83"/>
    </row>
    <row r="966">
      <c r="T966" s="83"/>
      <c r="U966" s="83"/>
      <c r="V966" s="83"/>
      <c r="W966" s="83"/>
      <c r="X966" s="83"/>
      <c r="Y966" s="83"/>
      <c r="Z966" s="83"/>
    </row>
    <row r="967">
      <c r="T967" s="83"/>
      <c r="U967" s="83"/>
      <c r="V967" s="83"/>
      <c r="W967" s="83"/>
      <c r="X967" s="83"/>
      <c r="Y967" s="83"/>
      <c r="Z967" s="83"/>
    </row>
    <row r="968">
      <c r="T968" s="83"/>
      <c r="U968" s="83"/>
      <c r="V968" s="83"/>
      <c r="W968" s="83"/>
      <c r="X968" s="83"/>
      <c r="Y968" s="83"/>
      <c r="Z968" s="83"/>
    </row>
    <row r="969">
      <c r="T969" s="83"/>
      <c r="U969" s="83"/>
      <c r="V969" s="83"/>
      <c r="W969" s="83"/>
      <c r="X969" s="83"/>
      <c r="Y969" s="83"/>
      <c r="Z969" s="83"/>
    </row>
    <row r="970">
      <c r="T970" s="83"/>
      <c r="U970" s="83"/>
      <c r="V970" s="83"/>
      <c r="W970" s="83"/>
      <c r="X970" s="83"/>
      <c r="Y970" s="83"/>
      <c r="Z970" s="83"/>
    </row>
    <row r="971">
      <c r="T971" s="83"/>
      <c r="U971" s="83"/>
      <c r="V971" s="83"/>
      <c r="W971" s="83"/>
      <c r="X971" s="83"/>
      <c r="Y971" s="83"/>
      <c r="Z971" s="83"/>
    </row>
    <row r="972">
      <c r="T972" s="83"/>
      <c r="U972" s="83"/>
      <c r="V972" s="83"/>
      <c r="W972" s="83"/>
      <c r="X972" s="83"/>
      <c r="Y972" s="83"/>
      <c r="Z972" s="83"/>
    </row>
    <row r="973">
      <c r="T973" s="83"/>
      <c r="U973" s="83"/>
      <c r="V973" s="83"/>
      <c r="W973" s="83"/>
      <c r="X973" s="83"/>
      <c r="Y973" s="83"/>
      <c r="Z973" s="83"/>
    </row>
    <row r="974">
      <c r="T974" s="83"/>
      <c r="U974" s="83"/>
      <c r="V974" s="83"/>
      <c r="W974" s="83"/>
      <c r="X974" s="83"/>
      <c r="Y974" s="83"/>
      <c r="Z974" s="83"/>
    </row>
    <row r="975">
      <c r="T975" s="83"/>
      <c r="U975" s="83"/>
      <c r="V975" s="83"/>
      <c r="W975" s="83"/>
      <c r="X975" s="83"/>
      <c r="Y975" s="83"/>
      <c r="Z975" s="83"/>
    </row>
    <row r="976">
      <c r="T976" s="83"/>
      <c r="U976" s="83"/>
      <c r="V976" s="83"/>
      <c r="W976" s="83"/>
      <c r="X976" s="83"/>
      <c r="Y976" s="83"/>
      <c r="Z976" s="83"/>
    </row>
    <row r="977">
      <c r="T977" s="83"/>
      <c r="U977" s="83"/>
      <c r="V977" s="83"/>
      <c r="W977" s="83"/>
      <c r="X977" s="83"/>
      <c r="Y977" s="83"/>
      <c r="Z977" s="83"/>
    </row>
    <row r="978">
      <c r="T978" s="83"/>
      <c r="U978" s="83"/>
      <c r="V978" s="83"/>
      <c r="W978" s="83"/>
      <c r="X978" s="83"/>
      <c r="Y978" s="83"/>
      <c r="Z978" s="83"/>
    </row>
    <row r="979">
      <c r="T979" s="83"/>
      <c r="U979" s="83"/>
      <c r="V979" s="83"/>
      <c r="W979" s="83"/>
      <c r="X979" s="83"/>
      <c r="Y979" s="83"/>
      <c r="Z979" s="83"/>
    </row>
    <row r="980">
      <c r="T980" s="83"/>
      <c r="U980" s="83"/>
      <c r="V980" s="83"/>
      <c r="W980" s="83"/>
      <c r="X980" s="83"/>
      <c r="Y980" s="83"/>
      <c r="Z980" s="83"/>
    </row>
    <row r="981">
      <c r="T981" s="83"/>
      <c r="U981" s="83"/>
      <c r="V981" s="83"/>
      <c r="W981" s="83"/>
      <c r="X981" s="83"/>
      <c r="Y981" s="83"/>
      <c r="Z981" s="83"/>
    </row>
    <row r="982">
      <c r="T982" s="83"/>
      <c r="U982" s="83"/>
      <c r="V982" s="83"/>
      <c r="W982" s="83"/>
      <c r="X982" s="83"/>
      <c r="Y982" s="83"/>
      <c r="Z982" s="83"/>
    </row>
    <row r="983">
      <c r="T983" s="83"/>
      <c r="U983" s="83"/>
      <c r="V983" s="83"/>
      <c r="W983" s="83"/>
      <c r="X983" s="83"/>
      <c r="Y983" s="83"/>
      <c r="Z983" s="83"/>
    </row>
    <row r="984">
      <c r="T984" s="83"/>
      <c r="U984" s="83"/>
      <c r="V984" s="83"/>
      <c r="W984" s="83"/>
      <c r="X984" s="83"/>
      <c r="Y984" s="83"/>
      <c r="Z984" s="83"/>
    </row>
    <row r="985">
      <c r="T985" s="83"/>
      <c r="U985" s="83"/>
      <c r="V985" s="83"/>
      <c r="W985" s="83"/>
      <c r="X985" s="83"/>
      <c r="Y985" s="83"/>
      <c r="Z985" s="83"/>
    </row>
    <row r="986">
      <c r="T986" s="83"/>
      <c r="U986" s="83"/>
      <c r="V986" s="83"/>
      <c r="W986" s="83"/>
      <c r="X986" s="83"/>
      <c r="Y986" s="83"/>
      <c r="Z986" s="83"/>
    </row>
    <row r="987">
      <c r="T987" s="83"/>
      <c r="U987" s="83"/>
      <c r="V987" s="83"/>
      <c r="W987" s="83"/>
      <c r="X987" s="83"/>
      <c r="Y987" s="83"/>
      <c r="Z987" s="83"/>
    </row>
    <row r="988">
      <c r="T988" s="83"/>
      <c r="U988" s="83"/>
      <c r="V988" s="83"/>
      <c r="W988" s="83"/>
      <c r="X988" s="83"/>
      <c r="Y988" s="83"/>
      <c r="Z988" s="83"/>
    </row>
    <row r="989">
      <c r="T989" s="83"/>
      <c r="U989" s="83"/>
      <c r="V989" s="83"/>
      <c r="W989" s="83"/>
      <c r="X989" s="83"/>
      <c r="Y989" s="83"/>
      <c r="Z989" s="83"/>
    </row>
    <row r="990">
      <c r="T990" s="83"/>
      <c r="U990" s="83"/>
      <c r="V990" s="83"/>
      <c r="W990" s="83"/>
      <c r="X990" s="83"/>
      <c r="Y990" s="83"/>
      <c r="Z990" s="83"/>
    </row>
    <row r="991">
      <c r="T991" s="83"/>
      <c r="U991" s="83"/>
      <c r="V991" s="83"/>
      <c r="W991" s="83"/>
      <c r="X991" s="83"/>
      <c r="Y991" s="83"/>
      <c r="Z991" s="83"/>
    </row>
    <row r="992">
      <c r="T992" s="83"/>
      <c r="U992" s="83"/>
      <c r="V992" s="83"/>
      <c r="W992" s="83"/>
      <c r="X992" s="83"/>
      <c r="Y992" s="83"/>
      <c r="Z992" s="83"/>
    </row>
    <row r="993">
      <c r="T993" s="83"/>
      <c r="U993" s="83"/>
      <c r="V993" s="83"/>
      <c r="W993" s="83"/>
      <c r="X993" s="83"/>
      <c r="Y993" s="83"/>
      <c r="Z993" s="83"/>
    </row>
    <row r="994">
      <c r="T994" s="83"/>
      <c r="U994" s="83"/>
      <c r="V994" s="83"/>
      <c r="W994" s="83"/>
      <c r="X994" s="83"/>
      <c r="Y994" s="83"/>
      <c r="Z994" s="83"/>
    </row>
    <row r="995">
      <c r="T995" s="83"/>
      <c r="U995" s="83"/>
      <c r="V995" s="83"/>
      <c r="W995" s="83"/>
      <c r="X995" s="83"/>
      <c r="Y995" s="83"/>
      <c r="Z995" s="83"/>
    </row>
    <row r="996">
      <c r="T996" s="83"/>
      <c r="U996" s="83"/>
      <c r="V996" s="83"/>
      <c r="W996" s="83"/>
      <c r="X996" s="83"/>
      <c r="Y996" s="83"/>
      <c r="Z996" s="83"/>
    </row>
    <row r="997">
      <c r="T997" s="83"/>
      <c r="U997" s="83"/>
      <c r="V997" s="83"/>
      <c r="W997" s="83"/>
      <c r="X997" s="83"/>
      <c r="Y997" s="83"/>
      <c r="Z997" s="83"/>
    </row>
    <row r="998">
      <c r="T998" s="83"/>
      <c r="U998" s="83"/>
      <c r="V998" s="83"/>
      <c r="W998" s="83"/>
      <c r="X998" s="83"/>
      <c r="Y998" s="83"/>
      <c r="Z998" s="83"/>
    </row>
    <row r="999">
      <c r="T999" s="83"/>
      <c r="U999" s="83"/>
      <c r="V999" s="83"/>
      <c r="W999" s="83"/>
      <c r="X999" s="83"/>
      <c r="Y999" s="83"/>
      <c r="Z999" s="83"/>
    </row>
    <row r="1000">
      <c r="T1000" s="83"/>
      <c r="U1000" s="83"/>
      <c r="V1000" s="83"/>
      <c r="W1000" s="83"/>
      <c r="X1000" s="83"/>
      <c r="Y1000" s="83"/>
      <c r="Z1000" s="83"/>
    </row>
    <row r="1001">
      <c r="T1001" s="83"/>
      <c r="U1001" s="83"/>
      <c r="V1001" s="83"/>
      <c r="W1001" s="83"/>
      <c r="X1001" s="83"/>
      <c r="Y1001" s="83"/>
      <c r="Z1001" s="83"/>
    </row>
  </sheetData>
  <mergeCells count="4">
    <mergeCell ref="T1:Z1"/>
    <mergeCell ref="B2:O2"/>
    <mergeCell ref="Q13:R13"/>
    <mergeCell ref="T18:T24"/>
  </mergeCells>
  <conditionalFormatting sqref="C4:N4">
    <cfRule type="colorScale" priority="1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5:N5 C24:N24">
    <cfRule type="colorScale" priority="2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6:N6">
    <cfRule type="colorScale" priority="3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7:N7">
    <cfRule type="colorScale" priority="4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8:N8">
    <cfRule type="colorScale" priority="5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9:N9">
    <cfRule type="colorScale" priority="6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25:N25">
    <cfRule type="colorScale" priority="7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26:N26">
    <cfRule type="colorScale" priority="8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C27:N27">
    <cfRule type="colorScale" priority="9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U3:U14 V19:AG19 V27:AG28">
    <cfRule type="colorScale" priority="10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V3:V14 V20:AG20">
    <cfRule type="colorScale" priority="11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W3:W14 V21:AG21">
    <cfRule type="colorScale" priority="12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X3:X14 V22:AG22">
    <cfRule type="colorScale" priority="13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Y3:Y14 V23:AG23">
    <cfRule type="colorScale" priority="14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Z3:Z14 V24:AG24">
    <cfRule type="colorScale" priority="15">
      <colorScale>
        <cfvo type="min"/>
        <cfvo type="percentile" val="50"/>
        <cfvo type="max"/>
        <color rgb="FFFFFFFF"/>
        <color rgb="FF00FFFF"/>
        <color rgb="FF46BDC6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  <col customWidth="1" min="3" max="3" width="7.13"/>
    <col customWidth="1" min="4" max="4" width="13.5"/>
    <col customWidth="1" min="5" max="5" width="5.13"/>
    <col customWidth="1" min="6" max="6" width="7.25"/>
    <col customWidth="1" min="7" max="7" width="4.75"/>
    <col customWidth="1" min="8" max="9" width="5.63"/>
    <col customWidth="1" min="10" max="10" width="12.75"/>
    <col customWidth="1" min="11" max="11" width="9.0"/>
    <col customWidth="1" min="12" max="12" width="8.0"/>
    <col customWidth="1" min="13" max="13" width="7.25"/>
    <col customWidth="1" min="14" max="14" width="8.0"/>
    <col customWidth="1" min="15" max="15" width="9.25"/>
    <col customWidth="1" min="17" max="17" width="18.13"/>
    <col customWidth="1" min="20" max="20" width="13.63"/>
    <col customWidth="1" min="21" max="21" width="33.5"/>
    <col customWidth="1" min="22" max="22" width="7.75"/>
    <col customWidth="1" min="23" max="23" width="9.13"/>
    <col customWidth="1" min="24" max="24" width="5.5"/>
    <col customWidth="1" min="25" max="25" width="7.88"/>
    <col customWidth="1" min="26" max="26" width="5.13"/>
    <col customWidth="1" min="27" max="28" width="6.13"/>
    <col customWidth="1" min="29" max="29" width="7.13"/>
    <col customWidth="1" min="30" max="30" width="9.75"/>
    <col customWidth="1" min="31" max="31" width="8.63"/>
    <col customWidth="1" min="32" max="32" width="7.88"/>
    <col customWidth="1" min="33" max="33" width="8.63"/>
    <col customWidth="1" min="34" max="34" width="6.13"/>
  </cols>
  <sheetData>
    <row r="1">
      <c r="A1" s="1" t="s">
        <v>0</v>
      </c>
      <c r="T1" s="7"/>
    </row>
    <row r="2">
      <c r="B2" s="11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/>
      <c r="T2" s="15"/>
      <c r="U2" s="16"/>
      <c r="V2" s="16"/>
      <c r="W2" s="16"/>
      <c r="X2" s="16"/>
      <c r="Y2" s="16"/>
      <c r="Z2" s="16"/>
    </row>
    <row r="3">
      <c r="B3" s="17" t="s">
        <v>3</v>
      </c>
      <c r="C3" s="17" t="s">
        <v>4</v>
      </c>
      <c r="D3" s="17" t="s">
        <v>6</v>
      </c>
      <c r="E3" s="17" t="s">
        <v>7</v>
      </c>
      <c r="F3" s="17" t="s">
        <v>8</v>
      </c>
      <c r="G3" s="17" t="s">
        <v>9</v>
      </c>
      <c r="H3" s="17" t="s">
        <v>10</v>
      </c>
      <c r="I3" s="17" t="s">
        <v>11</v>
      </c>
      <c r="J3" s="17" t="s">
        <v>12</v>
      </c>
      <c r="K3" s="19" t="s">
        <v>13</v>
      </c>
      <c r="L3" s="19" t="s">
        <v>14</v>
      </c>
      <c r="M3" s="19" t="s">
        <v>15</v>
      </c>
      <c r="N3" s="19" t="s">
        <v>16</v>
      </c>
      <c r="O3" s="17" t="s">
        <v>17</v>
      </c>
      <c r="Q3" s="20"/>
      <c r="T3" s="21"/>
      <c r="U3" s="22"/>
      <c r="V3" s="22"/>
      <c r="W3" s="22"/>
      <c r="X3" s="22"/>
      <c r="Y3" s="22"/>
      <c r="Z3" s="22"/>
    </row>
    <row r="4">
      <c r="B4" s="23" t="s">
        <v>18</v>
      </c>
      <c r="C4" s="25">
        <f t="shared" ref="C4:H4" si="1">C6+C5</f>
        <v>787</v>
      </c>
      <c r="D4" s="25">
        <f t="shared" si="1"/>
        <v>749</v>
      </c>
      <c r="E4" s="25">
        <f t="shared" si="1"/>
        <v>1048</v>
      </c>
      <c r="F4" s="25">
        <f t="shared" si="1"/>
        <v>795</v>
      </c>
      <c r="G4" s="25">
        <f t="shared" si="1"/>
        <v>991</v>
      </c>
      <c r="H4" s="25">
        <f t="shared" si="1"/>
        <v>1666</v>
      </c>
      <c r="I4" s="26">
        <v>1475.0</v>
      </c>
      <c r="J4" s="26">
        <v>1767.0</v>
      </c>
      <c r="K4" s="26">
        <v>1336.0</v>
      </c>
      <c r="L4" s="26">
        <v>1096.0</v>
      </c>
      <c r="M4" s="26">
        <v>849.0</v>
      </c>
      <c r="N4" s="26">
        <v>766.0</v>
      </c>
      <c r="O4" s="30">
        <f>SUM(O5:O6)</f>
        <v>13325</v>
      </c>
      <c r="Q4" s="20"/>
      <c r="R4" s="32"/>
      <c r="T4" s="21"/>
      <c r="U4" s="22"/>
      <c r="V4" s="22"/>
      <c r="W4" s="22"/>
      <c r="X4" s="22"/>
      <c r="Y4" s="22"/>
      <c r="Z4" s="22"/>
    </row>
    <row r="5">
      <c r="B5" s="23" t="s">
        <v>26</v>
      </c>
      <c r="C5" s="36">
        <v>246.0</v>
      </c>
      <c r="D5" s="26">
        <v>178.0</v>
      </c>
      <c r="E5" s="26">
        <v>243.0</v>
      </c>
      <c r="F5" s="37">
        <v>161.0</v>
      </c>
      <c r="G5" s="26">
        <v>296.0</v>
      </c>
      <c r="H5" s="26">
        <v>547.0</v>
      </c>
      <c r="I5" s="26">
        <v>461.0</v>
      </c>
      <c r="J5" s="26">
        <v>505.0</v>
      </c>
      <c r="K5" s="26">
        <v>315.0</v>
      </c>
      <c r="L5" s="26">
        <v>294.0</v>
      </c>
      <c r="M5" s="26">
        <v>189.0</v>
      </c>
      <c r="N5" s="26">
        <v>167.0</v>
      </c>
      <c r="O5" s="30">
        <f t="shared" ref="O5:O7" si="2">SUM(C5:N5)</f>
        <v>3602</v>
      </c>
      <c r="Q5" s="20"/>
      <c r="T5" s="21"/>
      <c r="U5" s="22"/>
      <c r="V5" s="22"/>
      <c r="W5" s="22"/>
      <c r="X5" s="22"/>
      <c r="Y5" s="22"/>
      <c r="Z5" s="22"/>
    </row>
    <row r="6">
      <c r="B6" s="23" t="s">
        <v>27</v>
      </c>
      <c r="C6" s="36">
        <v>541.0</v>
      </c>
      <c r="D6" s="26">
        <v>571.0</v>
      </c>
      <c r="E6" s="26">
        <v>805.0</v>
      </c>
      <c r="F6" s="37">
        <v>634.0</v>
      </c>
      <c r="G6" s="26">
        <v>695.0</v>
      </c>
      <c r="H6" s="26">
        <v>1119.0</v>
      </c>
      <c r="I6" s="26">
        <v>1014.0</v>
      </c>
      <c r="J6" s="26">
        <v>1262.0</v>
      </c>
      <c r="K6" s="26">
        <v>1021.0</v>
      </c>
      <c r="L6" s="26">
        <v>802.0</v>
      </c>
      <c r="M6" s="26">
        <v>660.0</v>
      </c>
      <c r="N6" s="26">
        <v>599.0</v>
      </c>
      <c r="O6" s="40">
        <f t="shared" si="2"/>
        <v>9723</v>
      </c>
      <c r="Q6" s="20"/>
      <c r="T6" s="21"/>
      <c r="U6" s="22"/>
      <c r="V6" s="22"/>
      <c r="W6" s="22"/>
      <c r="X6" s="22"/>
      <c r="Y6" s="22"/>
      <c r="Z6" s="22"/>
    </row>
    <row r="7">
      <c r="B7" s="42" t="s">
        <v>28</v>
      </c>
      <c r="C7" s="36">
        <v>240.0</v>
      </c>
      <c r="D7" s="43">
        <v>328.0</v>
      </c>
      <c r="E7" s="43">
        <v>219.0</v>
      </c>
      <c r="F7" s="43">
        <v>154.0</v>
      </c>
      <c r="G7" s="43">
        <v>964.0</v>
      </c>
      <c r="H7" s="43">
        <v>1295.0</v>
      </c>
      <c r="I7" s="43">
        <v>1230.0</v>
      </c>
      <c r="J7" s="43">
        <v>719.0</v>
      </c>
      <c r="K7" s="43">
        <v>427.0</v>
      </c>
      <c r="L7" s="27">
        <v>453.0</v>
      </c>
      <c r="M7" s="27">
        <v>160.0</v>
      </c>
      <c r="N7" s="43">
        <v>188.0</v>
      </c>
      <c r="O7" s="48">
        <f t="shared" si="2"/>
        <v>6377</v>
      </c>
      <c r="R7" s="49"/>
      <c r="S7" s="50"/>
      <c r="T7" s="21"/>
      <c r="U7" s="22"/>
      <c r="V7" s="22"/>
      <c r="W7" s="22"/>
      <c r="X7" s="22"/>
      <c r="Y7" s="22"/>
      <c r="Z7" s="22"/>
      <c r="AA7" s="50"/>
      <c r="AB7" s="50"/>
      <c r="AC7" s="50"/>
      <c r="AD7" s="50"/>
      <c r="AE7" s="50"/>
      <c r="AF7" s="50"/>
      <c r="AG7" s="50"/>
      <c r="AH7" s="50"/>
    </row>
    <row r="8">
      <c r="B8" s="52" t="s">
        <v>29</v>
      </c>
      <c r="C8" s="47">
        <v>2235.0</v>
      </c>
      <c r="D8" s="27">
        <v>2235.0</v>
      </c>
      <c r="E8" s="27">
        <v>2234.0</v>
      </c>
      <c r="F8" s="27">
        <v>2195.0</v>
      </c>
      <c r="G8" s="27">
        <v>2218.0</v>
      </c>
      <c r="H8" s="27">
        <v>2228.0</v>
      </c>
      <c r="I8" s="53">
        <v>2230.0</v>
      </c>
      <c r="J8" s="53">
        <v>2222.0</v>
      </c>
      <c r="K8" s="53">
        <v>2161.0</v>
      </c>
      <c r="L8" s="55">
        <v>2132.0</v>
      </c>
      <c r="M8" s="55">
        <v>2071.0</v>
      </c>
      <c r="N8" s="53">
        <v>2002.0</v>
      </c>
      <c r="O8" s="48">
        <v>2284.0</v>
      </c>
      <c r="T8" s="21"/>
      <c r="U8" s="22"/>
      <c r="V8" s="22"/>
      <c r="W8" s="22"/>
      <c r="X8" s="22"/>
      <c r="Y8" s="22"/>
      <c r="Z8" s="22"/>
    </row>
    <row r="9">
      <c r="B9" s="52" t="s">
        <v>31</v>
      </c>
      <c r="C9" s="36">
        <v>306.0</v>
      </c>
      <c r="D9" s="27">
        <v>721.0</v>
      </c>
      <c r="E9" s="27">
        <v>611.0</v>
      </c>
      <c r="F9" s="27">
        <v>490.0</v>
      </c>
      <c r="G9" s="27">
        <v>4400.0</v>
      </c>
      <c r="H9" s="27">
        <v>9900.0</v>
      </c>
      <c r="I9" s="27">
        <v>351.0</v>
      </c>
      <c r="J9" s="27">
        <v>344.0</v>
      </c>
      <c r="K9" s="27">
        <v>607.0</v>
      </c>
      <c r="L9" s="27">
        <v>619.0</v>
      </c>
      <c r="M9" s="27">
        <v>312.0</v>
      </c>
      <c r="N9" s="27">
        <v>500.0</v>
      </c>
      <c r="O9" s="48">
        <f t="shared" ref="O9:O10" si="3">SUM(C9:N9)</f>
        <v>19161</v>
      </c>
      <c r="T9" s="21"/>
      <c r="U9" s="22"/>
      <c r="V9" s="22"/>
      <c r="W9" s="22"/>
      <c r="X9" s="22"/>
      <c r="Y9" s="60"/>
      <c r="Z9" s="22"/>
    </row>
    <row r="10">
      <c r="B10" s="52" t="s">
        <v>34</v>
      </c>
      <c r="C10" s="36"/>
      <c r="D10" s="36"/>
      <c r="E10" s="26">
        <v>51.0</v>
      </c>
      <c r="F10" s="63">
        <v>282.0</v>
      </c>
      <c r="G10" s="36">
        <v>405.0</v>
      </c>
      <c r="H10" s="36">
        <v>705.0</v>
      </c>
      <c r="I10" s="26">
        <v>617.0</v>
      </c>
      <c r="J10" s="26">
        <v>774.0</v>
      </c>
      <c r="K10" s="26">
        <v>1834.0</v>
      </c>
      <c r="L10" s="26">
        <v>342.0</v>
      </c>
      <c r="M10" s="26">
        <v>414.0</v>
      </c>
      <c r="N10" s="26">
        <v>102.0</v>
      </c>
      <c r="O10" s="48">
        <f t="shared" si="3"/>
        <v>5526</v>
      </c>
      <c r="T10" s="21"/>
      <c r="U10" s="22"/>
      <c r="V10" s="22"/>
      <c r="W10" s="22"/>
      <c r="X10" s="22"/>
      <c r="Y10" s="60"/>
      <c r="Z10" s="22"/>
    </row>
    <row r="11">
      <c r="F11" s="65"/>
      <c r="G11" s="65"/>
      <c r="T11" s="66"/>
      <c r="U11" s="22"/>
      <c r="V11" s="22"/>
      <c r="W11" s="22"/>
      <c r="X11" s="22"/>
      <c r="Y11" s="60"/>
      <c r="Z11" s="22"/>
    </row>
    <row r="12">
      <c r="A12" s="68"/>
      <c r="T12" s="66"/>
      <c r="U12" s="22"/>
      <c r="V12" s="22"/>
      <c r="W12" s="22"/>
      <c r="X12" s="22"/>
      <c r="Y12" s="60"/>
      <c r="Z12" s="22"/>
    </row>
    <row r="13">
      <c r="Q13" s="70"/>
      <c r="T13" s="66"/>
      <c r="U13" s="22"/>
      <c r="V13" s="22"/>
      <c r="W13" s="22"/>
      <c r="X13" s="22"/>
      <c r="Y13" s="60"/>
      <c r="Z13" s="22"/>
    </row>
    <row r="14">
      <c r="B14" s="71" t="s">
        <v>3</v>
      </c>
      <c r="C14" s="17" t="s">
        <v>4</v>
      </c>
      <c r="D14" s="17" t="s">
        <v>6</v>
      </c>
      <c r="E14" s="17" t="s">
        <v>7</v>
      </c>
      <c r="F14" s="17" t="s">
        <v>8</v>
      </c>
      <c r="G14" s="17" t="s">
        <v>9</v>
      </c>
      <c r="H14" s="17" t="s">
        <v>10</v>
      </c>
      <c r="I14" s="17" t="s">
        <v>11</v>
      </c>
      <c r="J14" s="17" t="s">
        <v>12</v>
      </c>
      <c r="K14" s="19" t="s">
        <v>13</v>
      </c>
      <c r="L14" s="19" t="s">
        <v>14</v>
      </c>
      <c r="M14" s="19" t="s">
        <v>15</v>
      </c>
      <c r="N14" s="19" t="s">
        <v>16</v>
      </c>
      <c r="O14" s="73" t="s">
        <v>17</v>
      </c>
      <c r="Q14" s="20"/>
      <c r="T14" s="66"/>
      <c r="U14" s="22"/>
      <c r="V14" s="22"/>
      <c r="W14" s="22"/>
      <c r="X14" s="22"/>
      <c r="Y14" s="60"/>
      <c r="Z14" s="22"/>
    </row>
    <row r="15">
      <c r="B15" s="74" t="s">
        <v>26</v>
      </c>
      <c r="C15" s="75">
        <v>155.0</v>
      </c>
      <c r="D15" s="75">
        <v>113.0</v>
      </c>
      <c r="E15" s="75">
        <v>177.0</v>
      </c>
      <c r="F15" s="76">
        <v>159.0</v>
      </c>
      <c r="G15" s="77">
        <v>163.0</v>
      </c>
      <c r="H15" s="75">
        <f>214+31</f>
        <v>245</v>
      </c>
      <c r="I15" s="75">
        <v>266.0</v>
      </c>
      <c r="J15" s="75">
        <v>303.0</v>
      </c>
      <c r="K15" s="75">
        <v>233.0</v>
      </c>
      <c r="L15" s="77">
        <v>234.0</v>
      </c>
      <c r="M15" s="77">
        <v>207.0</v>
      </c>
      <c r="N15" s="75">
        <v>121.0</v>
      </c>
      <c r="O15" s="48">
        <f t="shared" ref="O15:O18" si="4">SUM(C15:N15)</f>
        <v>2376</v>
      </c>
      <c r="Q15" s="20"/>
      <c r="T15" s="21"/>
      <c r="U15" s="21"/>
      <c r="V15" s="21"/>
      <c r="W15" s="21"/>
      <c r="X15" s="21"/>
      <c r="Y15" s="21"/>
      <c r="Z15" s="21"/>
    </row>
    <row r="16">
      <c r="B16" s="71" t="s">
        <v>62</v>
      </c>
      <c r="C16" s="79"/>
      <c r="D16" s="80">
        <v>52.0</v>
      </c>
      <c r="E16" s="80">
        <v>53.0</v>
      </c>
      <c r="F16" s="80">
        <v>65.0</v>
      </c>
      <c r="G16" s="80">
        <v>71.0</v>
      </c>
      <c r="H16" s="80">
        <v>74.0</v>
      </c>
      <c r="I16" s="80">
        <v>107.0</v>
      </c>
      <c r="J16" s="80">
        <v>118.0</v>
      </c>
      <c r="K16" s="80">
        <v>118.0</v>
      </c>
      <c r="L16" s="80">
        <v>106.0</v>
      </c>
      <c r="M16" s="80">
        <v>121.0</v>
      </c>
      <c r="N16" s="81">
        <v>52.0</v>
      </c>
      <c r="O16" s="82">
        <f t="shared" si="4"/>
        <v>937</v>
      </c>
      <c r="T16" s="83"/>
      <c r="U16" s="83"/>
      <c r="V16" s="83"/>
      <c r="W16" s="83"/>
      <c r="X16" s="83"/>
      <c r="Y16" s="83"/>
      <c r="Z16" s="83"/>
    </row>
    <row r="17">
      <c r="B17" s="71" t="s">
        <v>63</v>
      </c>
      <c r="C17" s="79"/>
      <c r="D17" s="80">
        <v>40.0</v>
      </c>
      <c r="E17" s="80">
        <v>76.0</v>
      </c>
      <c r="F17" s="80">
        <v>44.0</v>
      </c>
      <c r="G17" s="80">
        <v>49.0</v>
      </c>
      <c r="H17" s="80">
        <v>89.0</v>
      </c>
      <c r="I17" s="80">
        <v>53.0</v>
      </c>
      <c r="J17" s="80">
        <v>54.0</v>
      </c>
      <c r="K17" s="80">
        <v>54.0</v>
      </c>
      <c r="L17" s="80">
        <v>51.0</v>
      </c>
      <c r="M17" s="80">
        <v>36.0</v>
      </c>
      <c r="N17" s="81">
        <v>17.0</v>
      </c>
      <c r="O17" s="82">
        <f t="shared" si="4"/>
        <v>563</v>
      </c>
      <c r="T17" s="83"/>
      <c r="U17" s="83"/>
      <c r="V17" s="83"/>
      <c r="W17" s="83"/>
      <c r="X17" s="83"/>
      <c r="Y17" s="83"/>
      <c r="Z17" s="83"/>
    </row>
    <row r="18">
      <c r="B18" s="71" t="s">
        <v>64</v>
      </c>
      <c r="C18" s="79"/>
      <c r="D18" s="80">
        <v>21.0</v>
      </c>
      <c r="E18" s="80">
        <v>11.0</v>
      </c>
      <c r="F18" s="80">
        <v>12.0</v>
      </c>
      <c r="G18" s="80">
        <v>8.0</v>
      </c>
      <c r="H18" s="80">
        <v>39.0</v>
      </c>
      <c r="I18" s="80">
        <v>89.0</v>
      </c>
      <c r="J18" s="80">
        <v>32.0</v>
      </c>
      <c r="K18" s="80">
        <v>25.0</v>
      </c>
      <c r="L18" s="80">
        <v>11.0</v>
      </c>
      <c r="M18" s="80">
        <v>6.0</v>
      </c>
      <c r="N18" s="81">
        <v>7.0</v>
      </c>
      <c r="O18" s="82">
        <f t="shared" si="4"/>
        <v>261</v>
      </c>
      <c r="P18" s="84"/>
      <c r="Q18" s="84"/>
      <c r="R18" s="84"/>
      <c r="S18" s="84"/>
      <c r="T18" s="83"/>
      <c r="U18" s="83"/>
      <c r="V18" s="83"/>
      <c r="W18" s="83"/>
      <c r="X18" s="83"/>
      <c r="Y18" s="83"/>
      <c r="Z18" s="83"/>
    </row>
    <row r="19">
      <c r="R19" s="65"/>
      <c r="S19" s="65"/>
      <c r="T19" s="83"/>
      <c r="U19" s="83"/>
      <c r="V19" s="83"/>
      <c r="W19" s="83"/>
      <c r="X19" s="83"/>
      <c r="Y19" s="83"/>
      <c r="Z19" s="83"/>
    </row>
    <row r="20">
      <c r="O20" s="85"/>
      <c r="P20" s="65"/>
      <c r="Q20" s="65"/>
      <c r="R20" s="65"/>
      <c r="S20" s="65"/>
      <c r="T20" s="83"/>
      <c r="U20" s="83"/>
      <c r="V20" s="83"/>
      <c r="W20" s="83"/>
      <c r="X20" s="83"/>
      <c r="Y20" s="83"/>
      <c r="Z20" s="83"/>
    </row>
    <row r="21">
      <c r="O21" s="65"/>
      <c r="P21" s="86"/>
      <c r="Q21" s="86"/>
      <c r="R21" s="86"/>
      <c r="S21" s="87"/>
      <c r="T21" s="83"/>
      <c r="U21" s="83"/>
      <c r="V21" s="83"/>
      <c r="W21" s="83"/>
      <c r="X21" s="83"/>
      <c r="Y21" s="83"/>
      <c r="Z21" s="83"/>
    </row>
    <row r="22">
      <c r="T22" s="83"/>
      <c r="U22" s="83"/>
      <c r="V22" s="83"/>
      <c r="W22" s="83"/>
      <c r="X22" s="83"/>
      <c r="Y22" s="83"/>
      <c r="Z22" s="83"/>
    </row>
    <row r="23">
      <c r="P23" s="1" t="s">
        <v>65</v>
      </c>
      <c r="T23" s="83"/>
      <c r="U23" s="83"/>
      <c r="V23" s="83"/>
      <c r="W23" s="83"/>
      <c r="X23" s="83"/>
      <c r="Y23" s="83"/>
      <c r="Z23" s="83"/>
    </row>
    <row r="24">
      <c r="T24" s="83"/>
      <c r="U24" s="83"/>
      <c r="V24" s="83"/>
      <c r="W24" s="83"/>
      <c r="X24" s="83"/>
      <c r="Y24" s="83"/>
      <c r="Z24" s="83"/>
    </row>
    <row r="25">
      <c r="T25" s="83"/>
      <c r="U25" s="83"/>
      <c r="V25" s="83"/>
      <c r="W25" s="83"/>
      <c r="X25" s="83"/>
      <c r="Y25" s="83"/>
      <c r="Z25" s="83"/>
    </row>
    <row r="26">
      <c r="T26" s="83"/>
      <c r="U26" s="83"/>
      <c r="V26" s="83"/>
      <c r="W26" s="83"/>
      <c r="X26" s="83"/>
      <c r="Y26" s="83"/>
      <c r="Z26" s="83"/>
    </row>
    <row r="27">
      <c r="T27" s="83"/>
      <c r="U27" s="83"/>
      <c r="V27" s="83"/>
      <c r="W27" s="83"/>
      <c r="X27" s="83"/>
      <c r="Y27" s="83"/>
      <c r="Z27" s="83"/>
    </row>
    <row r="28">
      <c r="T28" s="83"/>
      <c r="U28" s="83"/>
      <c r="V28" s="83"/>
      <c r="W28" s="83"/>
      <c r="X28" s="83"/>
      <c r="Y28" s="83"/>
      <c r="Z28" s="83"/>
    </row>
    <row r="29">
      <c r="T29" s="83"/>
      <c r="U29" s="83"/>
      <c r="V29" s="83"/>
      <c r="W29" s="83"/>
      <c r="X29" s="83"/>
      <c r="Y29" s="83"/>
      <c r="Z29" s="83"/>
    </row>
    <row r="30">
      <c r="T30" s="83"/>
      <c r="U30" s="83"/>
      <c r="V30" s="83"/>
      <c r="W30" s="83"/>
      <c r="X30" s="83"/>
      <c r="Y30" s="83"/>
      <c r="Z30" s="83"/>
    </row>
    <row r="31">
      <c r="T31" s="83"/>
      <c r="U31" s="83"/>
      <c r="V31" s="83"/>
      <c r="W31" s="83"/>
      <c r="X31" s="83"/>
      <c r="Y31" s="83"/>
      <c r="Z31" s="83"/>
    </row>
    <row r="32">
      <c r="B32" s="89">
        <v>2024.0</v>
      </c>
      <c r="C32" s="4"/>
      <c r="D32" s="4"/>
      <c r="E32" s="4"/>
      <c r="F32" s="4"/>
      <c r="G32" s="4"/>
      <c r="H32" s="4"/>
      <c r="I32" s="6"/>
      <c r="T32" s="83"/>
      <c r="U32" s="83"/>
      <c r="V32" s="83"/>
      <c r="W32" s="83"/>
      <c r="X32" s="83"/>
      <c r="Y32" s="83"/>
      <c r="Z32" s="83"/>
    </row>
    <row r="33">
      <c r="B33" s="69" t="s">
        <v>3</v>
      </c>
      <c r="C33" s="90" t="s">
        <v>4</v>
      </c>
      <c r="D33" s="90" t="s">
        <v>6</v>
      </c>
      <c r="E33" s="90" t="s">
        <v>7</v>
      </c>
      <c r="F33" s="90" t="s">
        <v>8</v>
      </c>
      <c r="G33" s="90" t="s">
        <v>9</v>
      </c>
      <c r="H33" s="90" t="s">
        <v>10</v>
      </c>
      <c r="I33" s="91" t="s">
        <v>17</v>
      </c>
      <c r="T33" s="83"/>
      <c r="U33" s="83"/>
      <c r="V33" s="83"/>
      <c r="W33" s="83"/>
      <c r="X33" s="83"/>
      <c r="Y33" s="83"/>
      <c r="Z33" s="83"/>
    </row>
    <row r="34">
      <c r="B34" s="67" t="s">
        <v>18</v>
      </c>
      <c r="C34" s="90">
        <v>391.0</v>
      </c>
      <c r="D34" s="90">
        <v>353.0</v>
      </c>
      <c r="E34" s="90">
        <v>433.0</v>
      </c>
      <c r="F34" s="90">
        <v>421.0</v>
      </c>
      <c r="G34" s="90">
        <v>439.0</v>
      </c>
      <c r="H34" s="90">
        <v>604.0</v>
      </c>
      <c r="I34" s="90">
        <f t="shared" ref="I34:I35" si="5">SUM(C34:H34)</f>
        <v>2641</v>
      </c>
      <c r="T34" s="83"/>
      <c r="U34" s="83"/>
      <c r="V34" s="83"/>
      <c r="W34" s="83"/>
      <c r="X34" s="83"/>
      <c r="Y34" s="83"/>
      <c r="Z34" s="83"/>
    </row>
    <row r="35">
      <c r="B35" s="92" t="s">
        <v>28</v>
      </c>
      <c r="C35" s="93">
        <v>105.0</v>
      </c>
      <c r="D35" s="94">
        <v>88.0</v>
      </c>
      <c r="E35" s="94">
        <v>81.0</v>
      </c>
      <c r="F35" s="94">
        <v>65.0</v>
      </c>
      <c r="G35" s="94">
        <v>61.0</v>
      </c>
      <c r="H35" s="94">
        <v>92.0</v>
      </c>
      <c r="I35" s="90">
        <f t="shared" si="5"/>
        <v>492</v>
      </c>
      <c r="T35" s="83"/>
      <c r="U35" s="83"/>
      <c r="V35" s="83"/>
      <c r="W35" s="83"/>
      <c r="X35" s="83"/>
      <c r="Y35" s="83"/>
      <c r="Z35" s="83"/>
    </row>
    <row r="36">
      <c r="T36" s="83"/>
      <c r="U36" s="83"/>
      <c r="V36" s="83"/>
      <c r="W36" s="83"/>
      <c r="X36" s="83"/>
      <c r="Y36" s="83"/>
      <c r="Z36" s="83"/>
    </row>
    <row r="37">
      <c r="T37" s="83"/>
      <c r="U37" s="83"/>
      <c r="V37" s="83"/>
      <c r="W37" s="83"/>
      <c r="X37" s="83"/>
      <c r="Y37" s="83"/>
      <c r="Z37" s="83"/>
    </row>
    <row r="38">
      <c r="B38" s="89">
        <v>2025.0</v>
      </c>
      <c r="C38" s="4"/>
      <c r="D38" s="4"/>
      <c r="E38" s="4"/>
      <c r="F38" s="4"/>
      <c r="G38" s="4"/>
      <c r="H38" s="4"/>
      <c r="I38" s="6"/>
      <c r="T38" s="83"/>
      <c r="U38" s="83"/>
      <c r="V38" s="83"/>
      <c r="W38" s="83"/>
      <c r="X38" s="83"/>
      <c r="Y38" s="83"/>
      <c r="Z38" s="83"/>
    </row>
    <row r="39">
      <c r="B39" s="96" t="s">
        <v>3</v>
      </c>
      <c r="C39" s="90" t="s">
        <v>4</v>
      </c>
      <c r="D39" s="90" t="s">
        <v>6</v>
      </c>
      <c r="E39" s="90" t="s">
        <v>7</v>
      </c>
      <c r="F39" s="90" t="s">
        <v>8</v>
      </c>
      <c r="G39" s="90" t="s">
        <v>9</v>
      </c>
      <c r="H39" s="90" t="s">
        <v>10</v>
      </c>
      <c r="I39" s="91" t="s">
        <v>17</v>
      </c>
      <c r="T39" s="83"/>
      <c r="U39" s="83"/>
      <c r="V39" s="83"/>
      <c r="W39" s="83"/>
      <c r="X39" s="83"/>
      <c r="Y39" s="83"/>
      <c r="Z39" s="83"/>
    </row>
    <row r="40">
      <c r="B40" s="97" t="s">
        <v>18</v>
      </c>
      <c r="C40" s="90">
        <v>787.0</v>
      </c>
      <c r="D40" s="90">
        <v>749.0</v>
      </c>
      <c r="E40" s="90">
        <v>1048.0</v>
      </c>
      <c r="F40" s="90">
        <v>795.0</v>
      </c>
      <c r="G40" s="90">
        <v>991.0</v>
      </c>
      <c r="H40" s="90">
        <v>1666.0</v>
      </c>
      <c r="I40" s="90">
        <f t="shared" ref="I40:I41" si="6">SUM(C40:H40)</f>
        <v>6036</v>
      </c>
      <c r="K40" s="54">
        <f t="shared" ref="K40:K41" si="7">(I40-I34)/I34</f>
        <v>1.285497917</v>
      </c>
      <c r="T40" s="83"/>
      <c r="U40" s="83"/>
      <c r="V40" s="83"/>
      <c r="W40" s="83"/>
      <c r="X40" s="83"/>
      <c r="Y40" s="83"/>
      <c r="Z40" s="83"/>
    </row>
    <row r="41">
      <c r="B41" s="102" t="s">
        <v>28</v>
      </c>
      <c r="C41" s="93">
        <v>240.0</v>
      </c>
      <c r="D41" s="94">
        <v>328.0</v>
      </c>
      <c r="E41" s="94">
        <v>219.0</v>
      </c>
      <c r="F41" s="94">
        <v>154.0</v>
      </c>
      <c r="G41" s="94">
        <v>964.0</v>
      </c>
      <c r="H41" s="94">
        <v>1295.0</v>
      </c>
      <c r="I41" s="90">
        <f t="shared" si="6"/>
        <v>3200</v>
      </c>
      <c r="K41" s="54">
        <f t="shared" si="7"/>
        <v>5.504065041</v>
      </c>
      <c r="T41" s="83"/>
      <c r="U41" s="83"/>
      <c r="V41" s="83"/>
      <c r="W41" s="83"/>
      <c r="X41" s="83"/>
      <c r="Y41" s="83"/>
      <c r="Z41" s="83"/>
    </row>
    <row r="42">
      <c r="T42" s="83"/>
      <c r="U42" s="83"/>
      <c r="V42" s="83"/>
      <c r="W42" s="83"/>
      <c r="X42" s="83"/>
      <c r="Y42" s="83"/>
      <c r="Z42" s="83"/>
    </row>
    <row r="43">
      <c r="T43" s="83"/>
      <c r="U43" s="83"/>
      <c r="V43" s="83"/>
      <c r="W43" s="83"/>
      <c r="X43" s="83"/>
      <c r="Y43" s="83"/>
      <c r="Z43" s="83"/>
    </row>
    <row r="44">
      <c r="T44" s="83"/>
      <c r="U44" s="83"/>
      <c r="V44" s="83"/>
      <c r="W44" s="83"/>
      <c r="X44" s="83"/>
      <c r="Y44" s="83"/>
      <c r="Z44" s="83"/>
    </row>
    <row r="45">
      <c r="T45" s="83"/>
      <c r="U45" s="83"/>
      <c r="V45" s="83"/>
      <c r="W45" s="83"/>
      <c r="X45" s="83"/>
      <c r="Y45" s="83"/>
      <c r="Z45" s="83"/>
    </row>
    <row r="46">
      <c r="B46" s="69"/>
      <c r="C46" s="105" t="s">
        <v>68</v>
      </c>
      <c r="D46" s="105" t="s">
        <v>69</v>
      </c>
      <c r="H46" s="69"/>
      <c r="I46" s="67" t="s">
        <v>70</v>
      </c>
      <c r="J46" s="67" t="s">
        <v>71</v>
      </c>
      <c r="T46" s="83"/>
      <c r="U46" s="83"/>
      <c r="V46" s="83"/>
      <c r="W46" s="83"/>
      <c r="X46" s="83"/>
      <c r="Y46" s="83"/>
      <c r="Z46" s="83"/>
    </row>
    <row r="47">
      <c r="B47" s="69" t="s">
        <v>4</v>
      </c>
      <c r="C47" s="69">
        <v>787.0</v>
      </c>
      <c r="D47" s="69">
        <v>240.0</v>
      </c>
      <c r="H47" s="69" t="s">
        <v>4</v>
      </c>
      <c r="I47" s="69">
        <v>391.0</v>
      </c>
      <c r="J47" s="69">
        <v>105.0</v>
      </c>
      <c r="T47" s="83"/>
      <c r="U47" s="83"/>
      <c r="V47" s="83"/>
      <c r="W47" s="83"/>
      <c r="X47" s="83"/>
      <c r="Y47" s="83"/>
      <c r="Z47" s="83"/>
    </row>
    <row r="48">
      <c r="B48" s="69" t="s">
        <v>6</v>
      </c>
      <c r="C48" s="69">
        <v>749.0</v>
      </c>
      <c r="D48" s="69">
        <v>328.0</v>
      </c>
      <c r="H48" s="69" t="s">
        <v>6</v>
      </c>
      <c r="I48" s="69">
        <v>353.0</v>
      </c>
      <c r="J48" s="69">
        <v>88.0</v>
      </c>
      <c r="T48" s="83"/>
      <c r="U48" s="83"/>
      <c r="V48" s="83"/>
      <c r="W48" s="83"/>
      <c r="X48" s="83"/>
      <c r="Y48" s="83"/>
      <c r="Z48" s="83"/>
    </row>
    <row r="49">
      <c r="B49" s="69" t="s">
        <v>7</v>
      </c>
      <c r="C49" s="69">
        <v>1048.0</v>
      </c>
      <c r="D49" s="69">
        <v>219.0</v>
      </c>
      <c r="H49" s="69" t="s">
        <v>7</v>
      </c>
      <c r="I49" s="69">
        <v>433.0</v>
      </c>
      <c r="J49" s="69">
        <v>81.0</v>
      </c>
      <c r="T49" s="83"/>
      <c r="U49" s="83"/>
      <c r="V49" s="83"/>
      <c r="W49" s="83"/>
      <c r="X49" s="83"/>
      <c r="Y49" s="83"/>
      <c r="Z49" s="83"/>
    </row>
    <row r="50">
      <c r="B50" s="69" t="s">
        <v>8</v>
      </c>
      <c r="C50" s="69">
        <v>795.0</v>
      </c>
      <c r="D50" s="69">
        <v>154.0</v>
      </c>
      <c r="H50" s="69" t="s">
        <v>8</v>
      </c>
      <c r="I50" s="69">
        <v>421.0</v>
      </c>
      <c r="J50" s="69">
        <v>65.0</v>
      </c>
      <c r="T50" s="83"/>
      <c r="U50" s="83"/>
      <c r="V50" s="83"/>
      <c r="W50" s="83"/>
      <c r="X50" s="83"/>
      <c r="Y50" s="83"/>
      <c r="Z50" s="83"/>
    </row>
    <row r="51">
      <c r="B51" s="69" t="s">
        <v>9</v>
      </c>
      <c r="C51" s="69">
        <v>991.0</v>
      </c>
      <c r="D51" s="69">
        <v>964.0</v>
      </c>
      <c r="H51" s="69" t="s">
        <v>9</v>
      </c>
      <c r="I51" s="69">
        <v>439.0</v>
      </c>
      <c r="J51" s="69">
        <v>61.0</v>
      </c>
      <c r="T51" s="83"/>
      <c r="U51" s="83"/>
      <c r="V51" s="83"/>
      <c r="W51" s="83"/>
      <c r="X51" s="83"/>
      <c r="Y51" s="83"/>
      <c r="Z51" s="83"/>
    </row>
    <row r="52">
      <c r="B52" s="69" t="s">
        <v>10</v>
      </c>
      <c r="C52" s="69">
        <v>1666.0</v>
      </c>
      <c r="D52" s="69">
        <v>1295.0</v>
      </c>
      <c r="H52" s="69" t="s">
        <v>10</v>
      </c>
      <c r="I52" s="69">
        <v>604.0</v>
      </c>
      <c r="J52" s="69">
        <v>92.0</v>
      </c>
      <c r="T52" s="83"/>
      <c r="U52" s="83"/>
      <c r="V52" s="83"/>
      <c r="W52" s="83"/>
      <c r="X52" s="83"/>
      <c r="Y52" s="83"/>
      <c r="Z52" s="83"/>
    </row>
    <row r="53">
      <c r="B53" s="69" t="s">
        <v>17</v>
      </c>
      <c r="C53" s="69">
        <v>6036.0</v>
      </c>
      <c r="D53" s="69">
        <v>3200.0</v>
      </c>
      <c r="H53" s="69" t="s">
        <v>17</v>
      </c>
      <c r="I53" s="69">
        <v>2641.0</v>
      </c>
      <c r="J53" s="69">
        <v>492.0</v>
      </c>
      <c r="T53" s="83"/>
      <c r="U53" s="83"/>
      <c r="V53" s="83"/>
      <c r="W53" s="83"/>
      <c r="X53" s="83"/>
      <c r="Y53" s="83"/>
      <c r="Z53" s="83"/>
    </row>
    <row r="54">
      <c r="T54" s="83"/>
      <c r="U54" s="83"/>
      <c r="V54" s="83"/>
      <c r="W54" s="83"/>
      <c r="X54" s="83"/>
      <c r="Y54" s="83"/>
      <c r="Z54" s="83"/>
    </row>
    <row r="55">
      <c r="T55" s="83"/>
      <c r="U55" s="83"/>
      <c r="V55" s="83"/>
      <c r="W55" s="83"/>
      <c r="X55" s="83"/>
      <c r="Y55" s="83"/>
      <c r="Z55" s="83"/>
    </row>
    <row r="56">
      <c r="T56" s="83"/>
      <c r="U56" s="83"/>
      <c r="V56" s="83"/>
      <c r="W56" s="83"/>
      <c r="X56" s="83"/>
      <c r="Y56" s="83"/>
      <c r="Z56" s="83"/>
    </row>
    <row r="57">
      <c r="T57" s="83"/>
      <c r="U57" s="83"/>
      <c r="V57" s="83"/>
      <c r="W57" s="83"/>
      <c r="X57" s="83"/>
      <c r="Y57" s="83"/>
      <c r="Z57" s="83"/>
    </row>
    <row r="58">
      <c r="T58" s="83"/>
      <c r="U58" s="83"/>
      <c r="V58" s="83"/>
      <c r="W58" s="83"/>
      <c r="X58" s="83"/>
      <c r="Y58" s="83"/>
      <c r="Z58" s="83"/>
    </row>
    <row r="59">
      <c r="T59" s="83"/>
      <c r="U59" s="83"/>
      <c r="V59" s="83"/>
      <c r="W59" s="83"/>
      <c r="X59" s="83"/>
      <c r="Y59" s="83"/>
      <c r="Z59" s="83"/>
    </row>
    <row r="60">
      <c r="T60" s="83"/>
      <c r="U60" s="83"/>
      <c r="V60" s="83"/>
      <c r="W60" s="83"/>
      <c r="X60" s="83"/>
      <c r="Y60" s="83"/>
      <c r="Z60" s="83"/>
    </row>
    <row r="61">
      <c r="T61" s="83"/>
      <c r="U61" s="83"/>
      <c r="V61" s="83"/>
      <c r="W61" s="83"/>
      <c r="X61" s="83"/>
      <c r="Y61" s="83"/>
      <c r="Z61" s="83"/>
    </row>
    <row r="62">
      <c r="T62" s="83"/>
      <c r="U62" s="83"/>
      <c r="V62" s="83"/>
      <c r="W62" s="83"/>
      <c r="X62" s="83"/>
      <c r="Y62" s="83"/>
      <c r="Z62" s="83"/>
    </row>
    <row r="63">
      <c r="T63" s="83"/>
      <c r="U63" s="83"/>
      <c r="V63" s="83"/>
      <c r="W63" s="83"/>
      <c r="X63" s="83"/>
      <c r="Y63" s="83"/>
      <c r="Z63" s="83"/>
    </row>
    <row r="64">
      <c r="T64" s="83"/>
      <c r="U64" s="83"/>
      <c r="V64" s="83"/>
      <c r="W64" s="83"/>
      <c r="X64" s="83"/>
      <c r="Y64" s="83"/>
      <c r="Z64" s="83"/>
    </row>
    <row r="65">
      <c r="T65" s="83"/>
      <c r="U65" s="83"/>
      <c r="V65" s="83"/>
      <c r="W65" s="83"/>
      <c r="X65" s="83"/>
      <c r="Y65" s="83"/>
      <c r="Z65" s="83"/>
    </row>
    <row r="66">
      <c r="T66" s="83"/>
      <c r="U66" s="83"/>
      <c r="V66" s="83"/>
      <c r="W66" s="83"/>
      <c r="X66" s="83"/>
      <c r="Y66" s="83"/>
      <c r="Z66" s="83"/>
    </row>
    <row r="67">
      <c r="T67" s="83"/>
      <c r="U67" s="83"/>
      <c r="V67" s="83"/>
      <c r="W67" s="83"/>
      <c r="X67" s="83"/>
      <c r="Y67" s="83"/>
      <c r="Z67" s="83"/>
    </row>
    <row r="68">
      <c r="T68" s="83"/>
      <c r="U68" s="83"/>
      <c r="V68" s="83"/>
      <c r="W68" s="83"/>
      <c r="X68" s="83"/>
      <c r="Y68" s="83"/>
      <c r="Z68" s="83"/>
    </row>
    <row r="69">
      <c r="T69" s="83"/>
      <c r="U69" s="83"/>
      <c r="V69" s="83"/>
      <c r="W69" s="83"/>
      <c r="X69" s="83"/>
      <c r="Y69" s="83"/>
      <c r="Z69" s="83"/>
    </row>
    <row r="70">
      <c r="T70" s="83"/>
      <c r="U70" s="83"/>
      <c r="V70" s="83"/>
      <c r="W70" s="83"/>
      <c r="X70" s="83"/>
      <c r="Y70" s="83"/>
      <c r="Z70" s="83"/>
    </row>
    <row r="71">
      <c r="T71" s="83"/>
      <c r="U71" s="83"/>
      <c r="V71" s="83"/>
      <c r="W71" s="83"/>
      <c r="X71" s="83"/>
      <c r="Y71" s="83"/>
      <c r="Z71" s="83"/>
    </row>
    <row r="72">
      <c r="T72" s="83"/>
      <c r="U72" s="83"/>
      <c r="V72" s="83"/>
      <c r="W72" s="83"/>
      <c r="X72" s="83"/>
      <c r="Y72" s="83"/>
      <c r="Z72" s="83"/>
    </row>
    <row r="73">
      <c r="T73" s="83"/>
      <c r="U73" s="83"/>
      <c r="V73" s="83"/>
      <c r="W73" s="83"/>
      <c r="X73" s="83"/>
      <c r="Y73" s="83"/>
      <c r="Z73" s="83"/>
    </row>
    <row r="74">
      <c r="T74" s="83"/>
      <c r="U74" s="83"/>
      <c r="V74" s="83"/>
      <c r="W74" s="83"/>
      <c r="X74" s="83"/>
      <c r="Y74" s="83"/>
      <c r="Z74" s="83"/>
    </row>
    <row r="75">
      <c r="T75" s="83"/>
      <c r="U75" s="83"/>
      <c r="V75" s="83"/>
      <c r="W75" s="83"/>
      <c r="X75" s="83"/>
      <c r="Y75" s="83"/>
      <c r="Z75" s="83"/>
    </row>
    <row r="76">
      <c r="T76" s="83"/>
      <c r="U76" s="83"/>
      <c r="V76" s="83"/>
      <c r="W76" s="83"/>
      <c r="X76" s="83"/>
      <c r="Y76" s="83"/>
      <c r="Z76" s="83"/>
    </row>
    <row r="77">
      <c r="T77" s="83"/>
      <c r="U77" s="83"/>
      <c r="V77" s="83"/>
      <c r="W77" s="83"/>
      <c r="X77" s="83"/>
      <c r="Y77" s="83"/>
      <c r="Z77" s="83"/>
    </row>
    <row r="78">
      <c r="T78" s="83"/>
      <c r="U78" s="83"/>
      <c r="V78" s="83"/>
      <c r="W78" s="83"/>
      <c r="X78" s="83"/>
      <c r="Y78" s="83"/>
      <c r="Z78" s="83"/>
    </row>
    <row r="79">
      <c r="T79" s="83"/>
      <c r="U79" s="83"/>
      <c r="V79" s="83"/>
      <c r="W79" s="83"/>
      <c r="X79" s="83"/>
      <c r="Y79" s="83"/>
      <c r="Z79" s="83"/>
    </row>
    <row r="80">
      <c r="T80" s="83"/>
      <c r="U80" s="83"/>
      <c r="V80" s="83"/>
      <c r="W80" s="83"/>
      <c r="X80" s="83"/>
      <c r="Y80" s="83"/>
      <c r="Z80" s="83"/>
    </row>
    <row r="81">
      <c r="T81" s="83"/>
      <c r="U81" s="83"/>
      <c r="V81" s="83"/>
      <c r="W81" s="83"/>
      <c r="X81" s="83"/>
      <c r="Y81" s="83"/>
      <c r="Z81" s="83"/>
    </row>
    <row r="82">
      <c r="T82" s="83"/>
      <c r="U82" s="83"/>
      <c r="V82" s="83"/>
      <c r="W82" s="83"/>
      <c r="X82" s="83"/>
      <c r="Y82" s="83"/>
      <c r="Z82" s="83"/>
    </row>
    <row r="83">
      <c r="T83" s="83"/>
      <c r="U83" s="83"/>
      <c r="V83" s="83"/>
      <c r="W83" s="83"/>
      <c r="X83" s="83"/>
      <c r="Y83" s="83"/>
      <c r="Z83" s="83"/>
    </row>
    <row r="84">
      <c r="T84" s="83"/>
      <c r="U84" s="83"/>
      <c r="V84" s="83"/>
      <c r="W84" s="83"/>
      <c r="X84" s="83"/>
      <c r="Y84" s="83"/>
      <c r="Z84" s="83"/>
    </row>
    <row r="85">
      <c r="T85" s="83"/>
      <c r="U85" s="83"/>
      <c r="V85" s="83"/>
      <c r="W85" s="83"/>
      <c r="X85" s="83"/>
      <c r="Y85" s="83"/>
      <c r="Z85" s="83"/>
    </row>
    <row r="86">
      <c r="T86" s="83"/>
      <c r="U86" s="83"/>
      <c r="V86" s="83"/>
      <c r="W86" s="83"/>
      <c r="X86" s="83"/>
      <c r="Y86" s="83"/>
      <c r="Z86" s="83"/>
    </row>
    <row r="87">
      <c r="T87" s="83"/>
      <c r="U87" s="83"/>
      <c r="V87" s="83"/>
      <c r="W87" s="83"/>
      <c r="X87" s="83"/>
      <c r="Y87" s="83"/>
      <c r="Z87" s="83"/>
    </row>
    <row r="88">
      <c r="T88" s="83"/>
      <c r="U88" s="83"/>
      <c r="V88" s="83"/>
      <c r="W88" s="83"/>
      <c r="X88" s="83"/>
      <c r="Y88" s="83"/>
      <c r="Z88" s="83"/>
    </row>
    <row r="89">
      <c r="T89" s="83"/>
      <c r="U89" s="83"/>
      <c r="V89" s="83"/>
      <c r="W89" s="83"/>
      <c r="X89" s="83"/>
      <c r="Y89" s="83"/>
      <c r="Z89" s="83"/>
    </row>
    <row r="90">
      <c r="T90" s="83"/>
      <c r="U90" s="83"/>
      <c r="V90" s="83"/>
      <c r="W90" s="83"/>
      <c r="X90" s="83"/>
      <c r="Y90" s="83"/>
      <c r="Z90" s="83"/>
    </row>
    <row r="91">
      <c r="T91" s="83"/>
      <c r="U91" s="83"/>
      <c r="V91" s="83"/>
      <c r="W91" s="83"/>
      <c r="X91" s="83"/>
      <c r="Y91" s="83"/>
      <c r="Z91" s="83"/>
    </row>
    <row r="92">
      <c r="T92" s="83"/>
      <c r="U92" s="83"/>
      <c r="V92" s="83"/>
      <c r="W92" s="83"/>
      <c r="X92" s="83"/>
      <c r="Y92" s="83"/>
      <c r="Z92" s="83"/>
    </row>
    <row r="93">
      <c r="T93" s="83"/>
      <c r="U93" s="83"/>
      <c r="V93" s="83"/>
      <c r="W93" s="83"/>
      <c r="X93" s="83"/>
      <c r="Y93" s="83"/>
      <c r="Z93" s="83"/>
    </row>
    <row r="94">
      <c r="T94" s="83"/>
      <c r="U94" s="83"/>
      <c r="V94" s="83"/>
      <c r="W94" s="83"/>
      <c r="X94" s="83"/>
      <c r="Y94" s="83"/>
      <c r="Z94" s="83"/>
    </row>
    <row r="95">
      <c r="T95" s="83"/>
      <c r="U95" s="83"/>
      <c r="V95" s="83"/>
      <c r="W95" s="83"/>
      <c r="X95" s="83"/>
      <c r="Y95" s="83"/>
      <c r="Z95" s="83"/>
    </row>
    <row r="96">
      <c r="T96" s="83"/>
      <c r="U96" s="83"/>
      <c r="V96" s="83"/>
      <c r="W96" s="83"/>
      <c r="X96" s="83"/>
      <c r="Y96" s="83"/>
      <c r="Z96" s="83"/>
    </row>
    <row r="97">
      <c r="T97" s="83"/>
      <c r="U97" s="83"/>
      <c r="V97" s="83"/>
      <c r="W97" s="83"/>
      <c r="X97" s="83"/>
      <c r="Y97" s="83"/>
      <c r="Z97" s="83"/>
    </row>
    <row r="98">
      <c r="T98" s="83"/>
      <c r="U98" s="83"/>
      <c r="V98" s="83"/>
      <c r="W98" s="83"/>
      <c r="X98" s="83"/>
      <c r="Y98" s="83"/>
      <c r="Z98" s="83"/>
    </row>
    <row r="99">
      <c r="T99" s="83"/>
      <c r="U99" s="83"/>
      <c r="V99" s="83"/>
      <c r="W99" s="83"/>
      <c r="X99" s="83"/>
      <c r="Y99" s="83"/>
      <c r="Z99" s="83"/>
    </row>
    <row r="100">
      <c r="T100" s="83"/>
      <c r="U100" s="83"/>
      <c r="V100" s="83"/>
      <c r="W100" s="83"/>
      <c r="X100" s="83"/>
      <c r="Y100" s="83"/>
      <c r="Z100" s="83"/>
    </row>
    <row r="101">
      <c r="T101" s="83"/>
      <c r="U101" s="83"/>
      <c r="V101" s="83"/>
      <c r="W101" s="83"/>
      <c r="X101" s="83"/>
      <c r="Y101" s="83"/>
      <c r="Z101" s="83"/>
    </row>
    <row r="102">
      <c r="T102" s="83"/>
      <c r="U102" s="83"/>
      <c r="V102" s="83"/>
      <c r="W102" s="83"/>
      <c r="X102" s="83"/>
      <c r="Y102" s="83"/>
      <c r="Z102" s="83"/>
    </row>
    <row r="103">
      <c r="T103" s="83"/>
      <c r="U103" s="83"/>
      <c r="V103" s="83"/>
      <c r="W103" s="83"/>
      <c r="X103" s="83"/>
      <c r="Y103" s="83"/>
      <c r="Z103" s="83"/>
    </row>
    <row r="104">
      <c r="T104" s="83"/>
      <c r="U104" s="83"/>
      <c r="V104" s="83"/>
      <c r="W104" s="83"/>
      <c r="X104" s="83"/>
      <c r="Y104" s="83"/>
      <c r="Z104" s="83"/>
    </row>
    <row r="105">
      <c r="T105" s="83"/>
      <c r="U105" s="83"/>
      <c r="V105" s="83"/>
      <c r="W105" s="83"/>
      <c r="X105" s="83"/>
      <c r="Y105" s="83"/>
      <c r="Z105" s="83"/>
    </row>
    <row r="106">
      <c r="T106" s="83"/>
      <c r="U106" s="83"/>
      <c r="V106" s="83"/>
      <c r="W106" s="83"/>
      <c r="X106" s="83"/>
      <c r="Y106" s="83"/>
      <c r="Z106" s="83"/>
    </row>
    <row r="107">
      <c r="T107" s="83"/>
      <c r="U107" s="83"/>
      <c r="V107" s="83"/>
      <c r="W107" s="83"/>
      <c r="X107" s="83"/>
      <c r="Y107" s="83"/>
      <c r="Z107" s="83"/>
    </row>
    <row r="108">
      <c r="T108" s="83"/>
      <c r="U108" s="83"/>
      <c r="V108" s="83"/>
      <c r="W108" s="83"/>
      <c r="X108" s="83"/>
      <c r="Y108" s="83"/>
      <c r="Z108" s="83"/>
    </row>
    <row r="109">
      <c r="T109" s="83"/>
      <c r="U109" s="83"/>
      <c r="V109" s="83"/>
      <c r="W109" s="83"/>
      <c r="X109" s="83"/>
      <c r="Y109" s="83"/>
      <c r="Z109" s="83"/>
    </row>
    <row r="110">
      <c r="T110" s="83"/>
      <c r="U110" s="83"/>
      <c r="V110" s="83"/>
      <c r="W110" s="83"/>
      <c r="X110" s="83"/>
      <c r="Y110" s="83"/>
      <c r="Z110" s="83"/>
    </row>
    <row r="111">
      <c r="T111" s="83"/>
      <c r="U111" s="83"/>
      <c r="V111" s="83"/>
      <c r="W111" s="83"/>
      <c r="X111" s="83"/>
      <c r="Y111" s="83"/>
      <c r="Z111" s="83"/>
    </row>
    <row r="112">
      <c r="T112" s="83"/>
      <c r="U112" s="83"/>
      <c r="V112" s="83"/>
      <c r="W112" s="83"/>
      <c r="X112" s="83"/>
      <c r="Y112" s="83"/>
      <c r="Z112" s="83"/>
    </row>
    <row r="113">
      <c r="T113" s="83"/>
      <c r="U113" s="83"/>
      <c r="V113" s="83"/>
      <c r="W113" s="83"/>
      <c r="X113" s="83"/>
      <c r="Y113" s="83"/>
      <c r="Z113" s="83"/>
    </row>
    <row r="114">
      <c r="T114" s="83"/>
      <c r="U114" s="83"/>
      <c r="V114" s="83"/>
      <c r="W114" s="83"/>
      <c r="X114" s="83"/>
      <c r="Y114" s="83"/>
      <c r="Z114" s="83"/>
    </row>
    <row r="115">
      <c r="T115" s="83"/>
      <c r="U115" s="83"/>
      <c r="V115" s="83"/>
      <c r="W115" s="83"/>
      <c r="X115" s="83"/>
      <c r="Y115" s="83"/>
      <c r="Z115" s="83"/>
    </row>
    <row r="116">
      <c r="T116" s="83"/>
      <c r="U116" s="83"/>
      <c r="V116" s="83"/>
      <c r="W116" s="83"/>
      <c r="X116" s="83"/>
      <c r="Y116" s="83"/>
      <c r="Z116" s="83"/>
    </row>
    <row r="117">
      <c r="T117" s="83"/>
      <c r="U117" s="83"/>
      <c r="V117" s="83"/>
      <c r="W117" s="83"/>
      <c r="X117" s="83"/>
      <c r="Y117" s="83"/>
      <c r="Z117" s="83"/>
    </row>
    <row r="118">
      <c r="T118" s="83"/>
      <c r="U118" s="83"/>
      <c r="V118" s="83"/>
      <c r="W118" s="83"/>
      <c r="X118" s="83"/>
      <c r="Y118" s="83"/>
      <c r="Z118" s="83"/>
    </row>
    <row r="119">
      <c r="T119" s="83"/>
      <c r="U119" s="83"/>
      <c r="V119" s="83"/>
      <c r="W119" s="83"/>
      <c r="X119" s="83"/>
      <c r="Y119" s="83"/>
      <c r="Z119" s="83"/>
    </row>
    <row r="120">
      <c r="T120" s="83"/>
      <c r="U120" s="83"/>
      <c r="V120" s="83"/>
      <c r="W120" s="83"/>
      <c r="X120" s="83"/>
      <c r="Y120" s="83"/>
      <c r="Z120" s="83"/>
    </row>
    <row r="121">
      <c r="T121" s="83"/>
      <c r="U121" s="83"/>
      <c r="V121" s="83"/>
      <c r="W121" s="83"/>
      <c r="X121" s="83"/>
      <c r="Y121" s="83"/>
      <c r="Z121" s="83"/>
    </row>
    <row r="122">
      <c r="T122" s="83"/>
      <c r="U122" s="83"/>
      <c r="V122" s="83"/>
      <c r="W122" s="83"/>
      <c r="X122" s="83"/>
      <c r="Y122" s="83"/>
      <c r="Z122" s="83"/>
    </row>
    <row r="123">
      <c r="T123" s="83"/>
      <c r="U123" s="83"/>
      <c r="V123" s="83"/>
      <c r="W123" s="83"/>
      <c r="X123" s="83"/>
      <c r="Y123" s="83"/>
      <c r="Z123" s="83"/>
    </row>
    <row r="124">
      <c r="T124" s="83"/>
      <c r="U124" s="83"/>
      <c r="V124" s="83"/>
      <c r="W124" s="83"/>
      <c r="X124" s="83"/>
      <c r="Y124" s="83"/>
      <c r="Z124" s="83"/>
    </row>
    <row r="125">
      <c r="T125" s="83"/>
      <c r="U125" s="83"/>
      <c r="V125" s="83"/>
      <c r="W125" s="83"/>
      <c r="X125" s="83"/>
      <c r="Y125" s="83"/>
      <c r="Z125" s="83"/>
    </row>
    <row r="126">
      <c r="T126" s="83"/>
      <c r="U126" s="83"/>
      <c r="V126" s="83"/>
      <c r="W126" s="83"/>
      <c r="X126" s="83"/>
      <c r="Y126" s="83"/>
      <c r="Z126" s="83"/>
    </row>
    <row r="127">
      <c r="T127" s="83"/>
      <c r="U127" s="83"/>
      <c r="V127" s="83"/>
      <c r="W127" s="83"/>
      <c r="X127" s="83"/>
      <c r="Y127" s="83"/>
      <c r="Z127" s="83"/>
    </row>
    <row r="128">
      <c r="T128" s="83"/>
      <c r="U128" s="83"/>
      <c r="V128" s="83"/>
      <c r="W128" s="83"/>
      <c r="X128" s="83"/>
      <c r="Y128" s="83"/>
      <c r="Z128" s="83"/>
    </row>
    <row r="129">
      <c r="T129" s="83"/>
      <c r="U129" s="83"/>
      <c r="V129" s="83"/>
      <c r="W129" s="83"/>
      <c r="X129" s="83"/>
      <c r="Y129" s="83"/>
      <c r="Z129" s="83"/>
    </row>
    <row r="130">
      <c r="T130" s="83"/>
      <c r="U130" s="83"/>
      <c r="V130" s="83"/>
      <c r="W130" s="83"/>
      <c r="X130" s="83"/>
      <c r="Y130" s="83"/>
      <c r="Z130" s="83"/>
    </row>
    <row r="131">
      <c r="T131" s="83"/>
      <c r="U131" s="83"/>
      <c r="V131" s="83"/>
      <c r="W131" s="83"/>
      <c r="X131" s="83"/>
      <c r="Y131" s="83"/>
      <c r="Z131" s="83"/>
    </row>
    <row r="132">
      <c r="T132" s="83"/>
      <c r="U132" s="83"/>
      <c r="V132" s="83"/>
      <c r="W132" s="83"/>
      <c r="X132" s="83"/>
      <c r="Y132" s="83"/>
      <c r="Z132" s="83"/>
    </row>
    <row r="133">
      <c r="T133" s="83"/>
      <c r="U133" s="83"/>
      <c r="V133" s="83"/>
      <c r="W133" s="83"/>
      <c r="X133" s="83"/>
      <c r="Y133" s="83"/>
      <c r="Z133" s="83"/>
    </row>
    <row r="134">
      <c r="T134" s="83"/>
      <c r="U134" s="83"/>
      <c r="V134" s="83"/>
      <c r="W134" s="83"/>
      <c r="X134" s="83"/>
      <c r="Y134" s="83"/>
      <c r="Z134" s="83"/>
    </row>
    <row r="135">
      <c r="T135" s="83"/>
      <c r="U135" s="83"/>
      <c r="V135" s="83"/>
      <c r="W135" s="83"/>
      <c r="X135" s="83"/>
      <c r="Y135" s="83"/>
      <c r="Z135" s="83"/>
    </row>
    <row r="136">
      <c r="T136" s="83"/>
      <c r="U136" s="83"/>
      <c r="V136" s="83"/>
      <c r="W136" s="83"/>
      <c r="X136" s="83"/>
      <c r="Y136" s="83"/>
      <c r="Z136" s="83"/>
    </row>
    <row r="137">
      <c r="T137" s="83"/>
      <c r="U137" s="83"/>
      <c r="V137" s="83"/>
      <c r="W137" s="83"/>
      <c r="X137" s="83"/>
      <c r="Y137" s="83"/>
      <c r="Z137" s="83"/>
    </row>
    <row r="138">
      <c r="T138" s="83"/>
      <c r="U138" s="83"/>
      <c r="V138" s="83"/>
      <c r="W138" s="83"/>
      <c r="X138" s="83"/>
      <c r="Y138" s="83"/>
      <c r="Z138" s="83"/>
    </row>
    <row r="139">
      <c r="T139" s="83"/>
      <c r="U139" s="83"/>
      <c r="V139" s="83"/>
      <c r="W139" s="83"/>
      <c r="X139" s="83"/>
      <c r="Y139" s="83"/>
      <c r="Z139" s="83"/>
    </row>
    <row r="140">
      <c r="T140" s="83"/>
      <c r="U140" s="83"/>
      <c r="V140" s="83"/>
      <c r="W140" s="83"/>
      <c r="X140" s="83"/>
      <c r="Y140" s="83"/>
      <c r="Z140" s="83"/>
    </row>
    <row r="141">
      <c r="T141" s="83"/>
      <c r="U141" s="83"/>
      <c r="V141" s="83"/>
      <c r="W141" s="83"/>
      <c r="X141" s="83"/>
      <c r="Y141" s="83"/>
      <c r="Z141" s="83"/>
    </row>
    <row r="142">
      <c r="T142" s="83"/>
      <c r="U142" s="83"/>
      <c r="V142" s="83"/>
      <c r="W142" s="83"/>
      <c r="X142" s="83"/>
      <c r="Y142" s="83"/>
      <c r="Z142" s="83"/>
    </row>
    <row r="143">
      <c r="T143" s="83"/>
      <c r="U143" s="83"/>
      <c r="V143" s="83"/>
      <c r="W143" s="83"/>
      <c r="X143" s="83"/>
      <c r="Y143" s="83"/>
      <c r="Z143" s="83"/>
    </row>
    <row r="144">
      <c r="T144" s="83"/>
      <c r="U144" s="83"/>
      <c r="V144" s="83"/>
      <c r="W144" s="83"/>
      <c r="X144" s="83"/>
      <c r="Y144" s="83"/>
      <c r="Z144" s="83"/>
    </row>
    <row r="145">
      <c r="T145" s="83"/>
      <c r="U145" s="83"/>
      <c r="V145" s="83"/>
      <c r="W145" s="83"/>
      <c r="X145" s="83"/>
      <c r="Y145" s="83"/>
      <c r="Z145" s="83"/>
    </row>
    <row r="146">
      <c r="T146" s="83"/>
      <c r="U146" s="83"/>
      <c r="V146" s="83"/>
      <c r="W146" s="83"/>
      <c r="X146" s="83"/>
      <c r="Y146" s="83"/>
      <c r="Z146" s="83"/>
    </row>
    <row r="147">
      <c r="T147" s="83"/>
      <c r="U147" s="83"/>
      <c r="V147" s="83"/>
      <c r="W147" s="83"/>
      <c r="X147" s="83"/>
      <c r="Y147" s="83"/>
      <c r="Z147" s="83"/>
    </row>
    <row r="148">
      <c r="T148" s="83"/>
      <c r="U148" s="83"/>
      <c r="V148" s="83"/>
      <c r="W148" s="83"/>
      <c r="X148" s="83"/>
      <c r="Y148" s="83"/>
      <c r="Z148" s="83"/>
    </row>
    <row r="149">
      <c r="T149" s="83"/>
      <c r="U149" s="83"/>
      <c r="V149" s="83"/>
      <c r="W149" s="83"/>
      <c r="X149" s="83"/>
      <c r="Y149" s="83"/>
      <c r="Z149" s="83"/>
    </row>
    <row r="150">
      <c r="T150" s="83"/>
      <c r="U150" s="83"/>
      <c r="V150" s="83"/>
      <c r="W150" s="83"/>
      <c r="X150" s="83"/>
      <c r="Y150" s="83"/>
      <c r="Z150" s="83"/>
    </row>
    <row r="151">
      <c r="T151" s="83"/>
      <c r="U151" s="83"/>
      <c r="V151" s="83"/>
      <c r="W151" s="83"/>
      <c r="X151" s="83"/>
      <c r="Y151" s="83"/>
      <c r="Z151" s="83"/>
    </row>
    <row r="152">
      <c r="T152" s="83"/>
      <c r="U152" s="83"/>
      <c r="V152" s="83"/>
      <c r="W152" s="83"/>
      <c r="X152" s="83"/>
      <c r="Y152" s="83"/>
      <c r="Z152" s="83"/>
    </row>
    <row r="153">
      <c r="T153" s="83"/>
      <c r="U153" s="83"/>
      <c r="V153" s="83"/>
      <c r="W153" s="83"/>
      <c r="X153" s="83"/>
      <c r="Y153" s="83"/>
      <c r="Z153" s="83"/>
    </row>
    <row r="154">
      <c r="T154" s="83"/>
      <c r="U154" s="83"/>
      <c r="V154" s="83"/>
      <c r="W154" s="83"/>
      <c r="X154" s="83"/>
      <c r="Y154" s="83"/>
      <c r="Z154" s="83"/>
    </row>
    <row r="155">
      <c r="T155" s="83"/>
      <c r="U155" s="83"/>
      <c r="V155" s="83"/>
      <c r="W155" s="83"/>
      <c r="X155" s="83"/>
      <c r="Y155" s="83"/>
      <c r="Z155" s="83"/>
    </row>
    <row r="156">
      <c r="T156" s="83"/>
      <c r="U156" s="83"/>
      <c r="V156" s="83"/>
      <c r="W156" s="83"/>
      <c r="X156" s="83"/>
      <c r="Y156" s="83"/>
      <c r="Z156" s="83"/>
    </row>
    <row r="157">
      <c r="T157" s="83"/>
      <c r="U157" s="83"/>
      <c r="V157" s="83"/>
      <c r="W157" s="83"/>
      <c r="X157" s="83"/>
      <c r="Y157" s="83"/>
      <c r="Z157" s="83"/>
    </row>
    <row r="158">
      <c r="T158" s="83"/>
      <c r="U158" s="83"/>
      <c r="V158" s="83"/>
      <c r="W158" s="83"/>
      <c r="X158" s="83"/>
      <c r="Y158" s="83"/>
      <c r="Z158" s="83"/>
    </row>
    <row r="159">
      <c r="T159" s="83"/>
      <c r="U159" s="83"/>
      <c r="V159" s="83"/>
      <c r="W159" s="83"/>
      <c r="X159" s="83"/>
      <c r="Y159" s="83"/>
      <c r="Z159" s="83"/>
    </row>
    <row r="160">
      <c r="T160" s="83"/>
      <c r="U160" s="83"/>
      <c r="V160" s="83"/>
      <c r="W160" s="83"/>
      <c r="X160" s="83"/>
      <c r="Y160" s="83"/>
      <c r="Z160" s="83"/>
    </row>
    <row r="161">
      <c r="T161" s="83"/>
      <c r="U161" s="83"/>
      <c r="V161" s="83"/>
      <c r="W161" s="83"/>
      <c r="X161" s="83"/>
      <c r="Y161" s="83"/>
      <c r="Z161" s="83"/>
    </row>
    <row r="162">
      <c r="T162" s="83"/>
      <c r="U162" s="83"/>
      <c r="V162" s="83"/>
      <c r="W162" s="83"/>
      <c r="X162" s="83"/>
      <c r="Y162" s="83"/>
      <c r="Z162" s="83"/>
    </row>
    <row r="163">
      <c r="T163" s="83"/>
      <c r="U163" s="83"/>
      <c r="V163" s="83"/>
      <c r="W163" s="83"/>
      <c r="X163" s="83"/>
      <c r="Y163" s="83"/>
      <c r="Z163" s="83"/>
    </row>
    <row r="164">
      <c r="T164" s="83"/>
      <c r="U164" s="83"/>
      <c r="V164" s="83"/>
      <c r="W164" s="83"/>
      <c r="X164" s="83"/>
      <c r="Y164" s="83"/>
      <c r="Z164" s="83"/>
    </row>
    <row r="165">
      <c r="T165" s="83"/>
      <c r="U165" s="83"/>
      <c r="V165" s="83"/>
      <c r="W165" s="83"/>
      <c r="X165" s="83"/>
      <c r="Y165" s="83"/>
      <c r="Z165" s="83"/>
    </row>
    <row r="166">
      <c r="T166" s="83"/>
      <c r="U166" s="83"/>
      <c r="V166" s="83"/>
      <c r="W166" s="83"/>
      <c r="X166" s="83"/>
      <c r="Y166" s="83"/>
      <c r="Z166" s="83"/>
    </row>
    <row r="167">
      <c r="T167" s="83"/>
      <c r="U167" s="83"/>
      <c r="V167" s="83"/>
      <c r="W167" s="83"/>
      <c r="X167" s="83"/>
      <c r="Y167" s="83"/>
      <c r="Z167" s="83"/>
    </row>
    <row r="168">
      <c r="T168" s="83"/>
      <c r="U168" s="83"/>
      <c r="V168" s="83"/>
      <c r="W168" s="83"/>
      <c r="X168" s="83"/>
      <c r="Y168" s="83"/>
      <c r="Z168" s="83"/>
    </row>
    <row r="169">
      <c r="T169" s="83"/>
      <c r="U169" s="83"/>
      <c r="V169" s="83"/>
      <c r="W169" s="83"/>
      <c r="X169" s="83"/>
      <c r="Y169" s="83"/>
      <c r="Z169" s="83"/>
    </row>
    <row r="170">
      <c r="T170" s="83"/>
      <c r="U170" s="83"/>
      <c r="V170" s="83"/>
      <c r="W170" s="83"/>
      <c r="X170" s="83"/>
      <c r="Y170" s="83"/>
      <c r="Z170" s="83"/>
    </row>
    <row r="171">
      <c r="T171" s="83"/>
      <c r="U171" s="83"/>
      <c r="V171" s="83"/>
      <c r="W171" s="83"/>
      <c r="X171" s="83"/>
      <c r="Y171" s="83"/>
      <c r="Z171" s="83"/>
    </row>
    <row r="172">
      <c r="T172" s="83"/>
      <c r="U172" s="83"/>
      <c r="V172" s="83"/>
      <c r="W172" s="83"/>
      <c r="X172" s="83"/>
      <c r="Y172" s="83"/>
      <c r="Z172" s="83"/>
    </row>
    <row r="173">
      <c r="T173" s="83"/>
      <c r="U173" s="83"/>
      <c r="V173" s="83"/>
      <c r="W173" s="83"/>
      <c r="X173" s="83"/>
      <c r="Y173" s="83"/>
      <c r="Z173" s="83"/>
    </row>
    <row r="174">
      <c r="T174" s="83"/>
      <c r="U174" s="83"/>
      <c r="V174" s="83"/>
      <c r="W174" s="83"/>
      <c r="X174" s="83"/>
      <c r="Y174" s="83"/>
      <c r="Z174" s="83"/>
    </row>
    <row r="175">
      <c r="T175" s="83"/>
      <c r="U175" s="83"/>
      <c r="V175" s="83"/>
      <c r="W175" s="83"/>
      <c r="X175" s="83"/>
      <c r="Y175" s="83"/>
      <c r="Z175" s="83"/>
    </row>
    <row r="176">
      <c r="T176" s="83"/>
      <c r="U176" s="83"/>
      <c r="V176" s="83"/>
      <c r="W176" s="83"/>
      <c r="X176" s="83"/>
      <c r="Y176" s="83"/>
      <c r="Z176" s="83"/>
    </row>
    <row r="177">
      <c r="T177" s="83"/>
      <c r="U177" s="83"/>
      <c r="V177" s="83"/>
      <c r="W177" s="83"/>
      <c r="X177" s="83"/>
      <c r="Y177" s="83"/>
      <c r="Z177" s="83"/>
    </row>
    <row r="178">
      <c r="T178" s="83"/>
      <c r="U178" s="83"/>
      <c r="V178" s="83"/>
      <c r="W178" s="83"/>
      <c r="X178" s="83"/>
      <c r="Y178" s="83"/>
      <c r="Z178" s="83"/>
    </row>
    <row r="179">
      <c r="T179" s="83"/>
      <c r="U179" s="83"/>
      <c r="V179" s="83"/>
      <c r="W179" s="83"/>
      <c r="X179" s="83"/>
      <c r="Y179" s="83"/>
      <c r="Z179" s="83"/>
    </row>
    <row r="180">
      <c r="T180" s="83"/>
      <c r="U180" s="83"/>
      <c r="V180" s="83"/>
      <c r="W180" s="83"/>
      <c r="X180" s="83"/>
      <c r="Y180" s="83"/>
      <c r="Z180" s="83"/>
    </row>
    <row r="181">
      <c r="T181" s="83"/>
      <c r="U181" s="83"/>
      <c r="V181" s="83"/>
      <c r="W181" s="83"/>
      <c r="X181" s="83"/>
      <c r="Y181" s="83"/>
      <c r="Z181" s="83"/>
    </row>
    <row r="182">
      <c r="T182" s="83"/>
      <c r="U182" s="83"/>
      <c r="V182" s="83"/>
      <c r="W182" s="83"/>
      <c r="X182" s="83"/>
      <c r="Y182" s="83"/>
      <c r="Z182" s="83"/>
    </row>
    <row r="183">
      <c r="T183" s="83"/>
      <c r="U183" s="83"/>
      <c r="V183" s="83"/>
      <c r="W183" s="83"/>
      <c r="X183" s="83"/>
      <c r="Y183" s="83"/>
      <c r="Z183" s="83"/>
    </row>
    <row r="184">
      <c r="T184" s="83"/>
      <c r="U184" s="83"/>
      <c r="V184" s="83"/>
      <c r="W184" s="83"/>
      <c r="X184" s="83"/>
      <c r="Y184" s="83"/>
      <c r="Z184" s="83"/>
    </row>
    <row r="185">
      <c r="T185" s="83"/>
      <c r="U185" s="83"/>
      <c r="V185" s="83"/>
      <c r="W185" s="83"/>
      <c r="X185" s="83"/>
      <c r="Y185" s="83"/>
      <c r="Z185" s="83"/>
    </row>
    <row r="186">
      <c r="T186" s="83"/>
      <c r="U186" s="83"/>
      <c r="V186" s="83"/>
      <c r="W186" s="83"/>
      <c r="X186" s="83"/>
      <c r="Y186" s="83"/>
      <c r="Z186" s="83"/>
    </row>
    <row r="187">
      <c r="T187" s="83"/>
      <c r="U187" s="83"/>
      <c r="V187" s="83"/>
      <c r="W187" s="83"/>
      <c r="X187" s="83"/>
      <c r="Y187" s="83"/>
      <c r="Z187" s="83"/>
    </row>
    <row r="188">
      <c r="T188" s="83"/>
      <c r="U188" s="83"/>
      <c r="V188" s="83"/>
      <c r="W188" s="83"/>
      <c r="X188" s="83"/>
      <c r="Y188" s="83"/>
      <c r="Z188" s="83"/>
    </row>
    <row r="189">
      <c r="T189" s="83"/>
      <c r="U189" s="83"/>
      <c r="V189" s="83"/>
      <c r="W189" s="83"/>
      <c r="X189" s="83"/>
      <c r="Y189" s="83"/>
      <c r="Z189" s="83"/>
    </row>
    <row r="190">
      <c r="T190" s="83"/>
      <c r="U190" s="83"/>
      <c r="V190" s="83"/>
      <c r="W190" s="83"/>
      <c r="X190" s="83"/>
      <c r="Y190" s="83"/>
      <c r="Z190" s="83"/>
    </row>
    <row r="191">
      <c r="T191" s="83"/>
      <c r="U191" s="83"/>
      <c r="V191" s="83"/>
      <c r="W191" s="83"/>
      <c r="X191" s="83"/>
      <c r="Y191" s="83"/>
      <c r="Z191" s="83"/>
    </row>
    <row r="192">
      <c r="T192" s="83"/>
      <c r="U192" s="83"/>
      <c r="V192" s="83"/>
      <c r="W192" s="83"/>
      <c r="X192" s="83"/>
      <c r="Y192" s="83"/>
      <c r="Z192" s="83"/>
    </row>
    <row r="193">
      <c r="T193" s="83"/>
      <c r="U193" s="83"/>
      <c r="V193" s="83"/>
      <c r="W193" s="83"/>
      <c r="X193" s="83"/>
      <c r="Y193" s="83"/>
      <c r="Z193" s="83"/>
    </row>
    <row r="194">
      <c r="T194" s="83"/>
      <c r="U194" s="83"/>
      <c r="V194" s="83"/>
      <c r="W194" s="83"/>
      <c r="X194" s="83"/>
      <c r="Y194" s="83"/>
      <c r="Z194" s="83"/>
    </row>
    <row r="195">
      <c r="T195" s="83"/>
      <c r="U195" s="83"/>
      <c r="V195" s="83"/>
      <c r="W195" s="83"/>
      <c r="X195" s="83"/>
      <c r="Y195" s="83"/>
      <c r="Z195" s="83"/>
    </row>
    <row r="196">
      <c r="T196" s="83"/>
      <c r="U196" s="83"/>
      <c r="V196" s="83"/>
      <c r="W196" s="83"/>
      <c r="X196" s="83"/>
      <c r="Y196" s="83"/>
      <c r="Z196" s="83"/>
    </row>
    <row r="197">
      <c r="T197" s="83"/>
      <c r="U197" s="83"/>
      <c r="V197" s="83"/>
      <c r="W197" s="83"/>
      <c r="X197" s="83"/>
      <c r="Y197" s="83"/>
      <c r="Z197" s="83"/>
    </row>
    <row r="198">
      <c r="T198" s="83"/>
      <c r="U198" s="83"/>
      <c r="V198" s="83"/>
      <c r="W198" s="83"/>
      <c r="X198" s="83"/>
      <c r="Y198" s="83"/>
      <c r="Z198" s="83"/>
    </row>
    <row r="199">
      <c r="T199" s="83"/>
      <c r="U199" s="83"/>
      <c r="V199" s="83"/>
      <c r="W199" s="83"/>
      <c r="X199" s="83"/>
      <c r="Y199" s="83"/>
      <c r="Z199" s="83"/>
    </row>
    <row r="200">
      <c r="T200" s="83"/>
      <c r="U200" s="83"/>
      <c r="V200" s="83"/>
      <c r="W200" s="83"/>
      <c r="X200" s="83"/>
      <c r="Y200" s="83"/>
      <c r="Z200" s="83"/>
    </row>
    <row r="201">
      <c r="T201" s="83"/>
      <c r="U201" s="83"/>
      <c r="V201" s="83"/>
      <c r="W201" s="83"/>
      <c r="X201" s="83"/>
      <c r="Y201" s="83"/>
      <c r="Z201" s="83"/>
    </row>
    <row r="202">
      <c r="T202" s="83"/>
      <c r="U202" s="83"/>
      <c r="V202" s="83"/>
      <c r="W202" s="83"/>
      <c r="X202" s="83"/>
      <c r="Y202" s="83"/>
      <c r="Z202" s="83"/>
    </row>
    <row r="203">
      <c r="T203" s="83"/>
      <c r="U203" s="83"/>
      <c r="V203" s="83"/>
      <c r="W203" s="83"/>
      <c r="X203" s="83"/>
      <c r="Y203" s="83"/>
      <c r="Z203" s="83"/>
    </row>
    <row r="204">
      <c r="T204" s="83"/>
      <c r="U204" s="83"/>
      <c r="V204" s="83"/>
      <c r="W204" s="83"/>
      <c r="X204" s="83"/>
      <c r="Y204" s="83"/>
      <c r="Z204" s="83"/>
    </row>
    <row r="205">
      <c r="T205" s="83"/>
      <c r="U205" s="83"/>
      <c r="V205" s="83"/>
      <c r="W205" s="83"/>
      <c r="X205" s="83"/>
      <c r="Y205" s="83"/>
      <c r="Z205" s="83"/>
    </row>
    <row r="206">
      <c r="T206" s="83"/>
      <c r="U206" s="83"/>
      <c r="V206" s="83"/>
      <c r="W206" s="83"/>
      <c r="X206" s="83"/>
      <c r="Y206" s="83"/>
      <c r="Z206" s="83"/>
    </row>
    <row r="207">
      <c r="T207" s="83"/>
      <c r="U207" s="83"/>
      <c r="V207" s="83"/>
      <c r="W207" s="83"/>
      <c r="X207" s="83"/>
      <c r="Y207" s="83"/>
      <c r="Z207" s="83"/>
    </row>
    <row r="208">
      <c r="T208" s="83"/>
      <c r="U208" s="83"/>
      <c r="V208" s="83"/>
      <c r="W208" s="83"/>
      <c r="X208" s="83"/>
      <c r="Y208" s="83"/>
      <c r="Z208" s="83"/>
    </row>
    <row r="209">
      <c r="T209" s="83"/>
      <c r="U209" s="83"/>
      <c r="V209" s="83"/>
      <c r="W209" s="83"/>
      <c r="X209" s="83"/>
      <c r="Y209" s="83"/>
      <c r="Z209" s="83"/>
    </row>
    <row r="210">
      <c r="T210" s="83"/>
      <c r="U210" s="83"/>
      <c r="V210" s="83"/>
      <c r="W210" s="83"/>
      <c r="X210" s="83"/>
      <c r="Y210" s="83"/>
      <c r="Z210" s="83"/>
    </row>
    <row r="211">
      <c r="T211" s="83"/>
      <c r="U211" s="83"/>
      <c r="V211" s="83"/>
      <c r="W211" s="83"/>
      <c r="X211" s="83"/>
      <c r="Y211" s="83"/>
      <c r="Z211" s="83"/>
    </row>
    <row r="212">
      <c r="T212" s="83"/>
      <c r="U212" s="83"/>
      <c r="V212" s="83"/>
      <c r="W212" s="83"/>
      <c r="X212" s="83"/>
      <c r="Y212" s="83"/>
      <c r="Z212" s="83"/>
    </row>
    <row r="213">
      <c r="T213" s="83"/>
      <c r="U213" s="83"/>
      <c r="V213" s="83"/>
      <c r="W213" s="83"/>
      <c r="X213" s="83"/>
      <c r="Y213" s="83"/>
      <c r="Z213" s="83"/>
    </row>
    <row r="214">
      <c r="T214" s="83"/>
      <c r="U214" s="83"/>
      <c r="V214" s="83"/>
      <c r="W214" s="83"/>
      <c r="X214" s="83"/>
      <c r="Y214" s="83"/>
      <c r="Z214" s="83"/>
    </row>
    <row r="215">
      <c r="T215" s="83"/>
      <c r="U215" s="83"/>
      <c r="V215" s="83"/>
      <c r="W215" s="83"/>
      <c r="X215" s="83"/>
      <c r="Y215" s="83"/>
      <c r="Z215" s="83"/>
    </row>
    <row r="216">
      <c r="T216" s="83"/>
      <c r="U216" s="83"/>
      <c r="V216" s="83"/>
      <c r="W216" s="83"/>
      <c r="X216" s="83"/>
      <c r="Y216" s="83"/>
      <c r="Z216" s="83"/>
    </row>
    <row r="217">
      <c r="T217" s="83"/>
      <c r="U217" s="83"/>
      <c r="V217" s="83"/>
      <c r="W217" s="83"/>
      <c r="X217" s="83"/>
      <c r="Y217" s="83"/>
      <c r="Z217" s="83"/>
    </row>
    <row r="218">
      <c r="T218" s="83"/>
      <c r="U218" s="83"/>
      <c r="V218" s="83"/>
      <c r="W218" s="83"/>
      <c r="X218" s="83"/>
      <c r="Y218" s="83"/>
      <c r="Z218" s="83"/>
    </row>
    <row r="219">
      <c r="T219" s="83"/>
      <c r="U219" s="83"/>
      <c r="V219" s="83"/>
      <c r="W219" s="83"/>
      <c r="X219" s="83"/>
      <c r="Y219" s="83"/>
      <c r="Z219" s="83"/>
    </row>
    <row r="220">
      <c r="T220" s="83"/>
      <c r="U220" s="83"/>
      <c r="V220" s="83"/>
      <c r="W220" s="83"/>
      <c r="X220" s="83"/>
      <c r="Y220" s="83"/>
      <c r="Z220" s="83"/>
    </row>
    <row r="221">
      <c r="T221" s="83"/>
      <c r="U221" s="83"/>
      <c r="V221" s="83"/>
      <c r="W221" s="83"/>
      <c r="X221" s="83"/>
      <c r="Y221" s="83"/>
      <c r="Z221" s="83"/>
    </row>
    <row r="222">
      <c r="T222" s="83"/>
      <c r="U222" s="83"/>
      <c r="V222" s="83"/>
      <c r="W222" s="83"/>
      <c r="X222" s="83"/>
      <c r="Y222" s="83"/>
      <c r="Z222" s="83"/>
    </row>
    <row r="223">
      <c r="T223" s="83"/>
      <c r="U223" s="83"/>
      <c r="V223" s="83"/>
      <c r="W223" s="83"/>
      <c r="X223" s="83"/>
      <c r="Y223" s="83"/>
      <c r="Z223" s="83"/>
    </row>
    <row r="224">
      <c r="T224" s="83"/>
      <c r="U224" s="83"/>
      <c r="V224" s="83"/>
      <c r="W224" s="83"/>
      <c r="X224" s="83"/>
      <c r="Y224" s="83"/>
      <c r="Z224" s="83"/>
    </row>
    <row r="225">
      <c r="T225" s="83"/>
      <c r="U225" s="83"/>
      <c r="V225" s="83"/>
      <c r="W225" s="83"/>
      <c r="X225" s="83"/>
      <c r="Y225" s="83"/>
      <c r="Z225" s="83"/>
    </row>
    <row r="226">
      <c r="T226" s="83"/>
      <c r="U226" s="83"/>
      <c r="V226" s="83"/>
      <c r="W226" s="83"/>
      <c r="X226" s="83"/>
      <c r="Y226" s="83"/>
      <c r="Z226" s="83"/>
    </row>
    <row r="227">
      <c r="T227" s="83"/>
      <c r="U227" s="83"/>
      <c r="V227" s="83"/>
      <c r="W227" s="83"/>
      <c r="X227" s="83"/>
      <c r="Y227" s="83"/>
      <c r="Z227" s="83"/>
    </row>
    <row r="228">
      <c r="T228" s="83"/>
      <c r="U228" s="83"/>
      <c r="V228" s="83"/>
      <c r="W228" s="83"/>
      <c r="X228" s="83"/>
      <c r="Y228" s="83"/>
      <c r="Z228" s="83"/>
    </row>
    <row r="229">
      <c r="T229" s="83"/>
      <c r="U229" s="83"/>
      <c r="V229" s="83"/>
      <c r="W229" s="83"/>
      <c r="X229" s="83"/>
      <c r="Y229" s="83"/>
      <c r="Z229" s="83"/>
    </row>
    <row r="230">
      <c r="T230" s="83"/>
      <c r="U230" s="83"/>
      <c r="V230" s="83"/>
      <c r="W230" s="83"/>
      <c r="X230" s="83"/>
      <c r="Y230" s="83"/>
      <c r="Z230" s="83"/>
    </row>
    <row r="231">
      <c r="T231" s="83"/>
      <c r="U231" s="83"/>
      <c r="V231" s="83"/>
      <c r="W231" s="83"/>
      <c r="X231" s="83"/>
      <c r="Y231" s="83"/>
      <c r="Z231" s="83"/>
    </row>
    <row r="232">
      <c r="T232" s="83"/>
      <c r="U232" s="83"/>
      <c r="V232" s="83"/>
      <c r="W232" s="83"/>
      <c r="X232" s="83"/>
      <c r="Y232" s="83"/>
      <c r="Z232" s="83"/>
    </row>
    <row r="233">
      <c r="T233" s="83"/>
      <c r="U233" s="83"/>
      <c r="V233" s="83"/>
      <c r="W233" s="83"/>
      <c r="X233" s="83"/>
      <c r="Y233" s="83"/>
      <c r="Z233" s="83"/>
    </row>
    <row r="234">
      <c r="T234" s="83"/>
      <c r="U234" s="83"/>
      <c r="V234" s="83"/>
      <c r="W234" s="83"/>
      <c r="X234" s="83"/>
      <c r="Y234" s="83"/>
      <c r="Z234" s="83"/>
    </row>
    <row r="235">
      <c r="T235" s="83"/>
      <c r="U235" s="83"/>
      <c r="V235" s="83"/>
      <c r="W235" s="83"/>
      <c r="X235" s="83"/>
      <c r="Y235" s="83"/>
      <c r="Z235" s="83"/>
    </row>
    <row r="236">
      <c r="T236" s="83"/>
      <c r="U236" s="83"/>
      <c r="V236" s="83"/>
      <c r="W236" s="83"/>
      <c r="X236" s="83"/>
      <c r="Y236" s="83"/>
      <c r="Z236" s="83"/>
    </row>
    <row r="237">
      <c r="T237" s="83"/>
      <c r="U237" s="83"/>
      <c r="V237" s="83"/>
      <c r="W237" s="83"/>
      <c r="X237" s="83"/>
      <c r="Y237" s="83"/>
      <c r="Z237" s="83"/>
    </row>
    <row r="238">
      <c r="T238" s="83"/>
      <c r="U238" s="83"/>
      <c r="V238" s="83"/>
      <c r="W238" s="83"/>
      <c r="X238" s="83"/>
      <c r="Y238" s="83"/>
      <c r="Z238" s="83"/>
    </row>
    <row r="239">
      <c r="T239" s="83"/>
      <c r="U239" s="83"/>
      <c r="V239" s="83"/>
      <c r="W239" s="83"/>
      <c r="X239" s="83"/>
      <c r="Y239" s="83"/>
      <c r="Z239" s="83"/>
    </row>
    <row r="240">
      <c r="T240" s="83"/>
      <c r="U240" s="83"/>
      <c r="V240" s="83"/>
      <c r="W240" s="83"/>
      <c r="X240" s="83"/>
      <c r="Y240" s="83"/>
      <c r="Z240" s="83"/>
    </row>
    <row r="241">
      <c r="T241" s="83"/>
      <c r="U241" s="83"/>
      <c r="V241" s="83"/>
      <c r="W241" s="83"/>
      <c r="X241" s="83"/>
      <c r="Y241" s="83"/>
      <c r="Z241" s="83"/>
    </row>
    <row r="242">
      <c r="T242" s="83"/>
      <c r="U242" s="83"/>
      <c r="V242" s="83"/>
      <c r="W242" s="83"/>
      <c r="X242" s="83"/>
      <c r="Y242" s="83"/>
      <c r="Z242" s="83"/>
    </row>
    <row r="243">
      <c r="T243" s="83"/>
      <c r="U243" s="83"/>
      <c r="V243" s="83"/>
      <c r="W243" s="83"/>
      <c r="X243" s="83"/>
      <c r="Y243" s="83"/>
      <c r="Z243" s="83"/>
    </row>
    <row r="244">
      <c r="T244" s="83"/>
      <c r="U244" s="83"/>
      <c r="V244" s="83"/>
      <c r="W244" s="83"/>
      <c r="X244" s="83"/>
      <c r="Y244" s="83"/>
      <c r="Z244" s="83"/>
    </row>
    <row r="245">
      <c r="T245" s="83"/>
      <c r="U245" s="83"/>
      <c r="V245" s="83"/>
      <c r="W245" s="83"/>
      <c r="X245" s="83"/>
      <c r="Y245" s="83"/>
      <c r="Z245" s="83"/>
    </row>
    <row r="246">
      <c r="T246" s="83"/>
      <c r="U246" s="83"/>
      <c r="V246" s="83"/>
      <c r="W246" s="83"/>
      <c r="X246" s="83"/>
      <c r="Y246" s="83"/>
      <c r="Z246" s="83"/>
    </row>
    <row r="247">
      <c r="T247" s="83"/>
      <c r="U247" s="83"/>
      <c r="V247" s="83"/>
      <c r="W247" s="83"/>
      <c r="X247" s="83"/>
      <c r="Y247" s="83"/>
      <c r="Z247" s="83"/>
    </row>
    <row r="248">
      <c r="T248" s="83"/>
      <c r="U248" s="83"/>
      <c r="V248" s="83"/>
      <c r="W248" s="83"/>
      <c r="X248" s="83"/>
      <c r="Y248" s="83"/>
      <c r="Z248" s="83"/>
    </row>
    <row r="249">
      <c r="T249" s="83"/>
      <c r="U249" s="83"/>
      <c r="V249" s="83"/>
      <c r="W249" s="83"/>
      <c r="X249" s="83"/>
      <c r="Y249" s="83"/>
      <c r="Z249" s="83"/>
    </row>
    <row r="250">
      <c r="T250" s="83"/>
      <c r="U250" s="83"/>
      <c r="V250" s="83"/>
      <c r="W250" s="83"/>
      <c r="X250" s="83"/>
      <c r="Y250" s="83"/>
      <c r="Z250" s="83"/>
    </row>
    <row r="251">
      <c r="T251" s="83"/>
      <c r="U251" s="83"/>
      <c r="V251" s="83"/>
      <c r="W251" s="83"/>
      <c r="X251" s="83"/>
      <c r="Y251" s="83"/>
      <c r="Z251" s="83"/>
    </row>
    <row r="252">
      <c r="T252" s="83"/>
      <c r="U252" s="83"/>
      <c r="V252" s="83"/>
      <c r="W252" s="83"/>
      <c r="X252" s="83"/>
      <c r="Y252" s="83"/>
      <c r="Z252" s="83"/>
    </row>
    <row r="253">
      <c r="T253" s="83"/>
      <c r="U253" s="83"/>
      <c r="V253" s="83"/>
      <c r="W253" s="83"/>
      <c r="X253" s="83"/>
      <c r="Y253" s="83"/>
      <c r="Z253" s="83"/>
    </row>
    <row r="254">
      <c r="T254" s="83"/>
      <c r="U254" s="83"/>
      <c r="V254" s="83"/>
      <c r="W254" s="83"/>
      <c r="X254" s="83"/>
      <c r="Y254" s="83"/>
      <c r="Z254" s="83"/>
    </row>
    <row r="255">
      <c r="T255" s="83"/>
      <c r="U255" s="83"/>
      <c r="V255" s="83"/>
      <c r="W255" s="83"/>
      <c r="X255" s="83"/>
      <c r="Y255" s="83"/>
      <c r="Z255" s="83"/>
    </row>
    <row r="256">
      <c r="T256" s="83"/>
      <c r="U256" s="83"/>
      <c r="V256" s="83"/>
      <c r="W256" s="83"/>
      <c r="X256" s="83"/>
      <c r="Y256" s="83"/>
      <c r="Z256" s="83"/>
    </row>
    <row r="257">
      <c r="T257" s="83"/>
      <c r="U257" s="83"/>
      <c r="V257" s="83"/>
      <c r="W257" s="83"/>
      <c r="X257" s="83"/>
      <c r="Y257" s="83"/>
      <c r="Z257" s="83"/>
    </row>
    <row r="258">
      <c r="T258" s="83"/>
      <c r="U258" s="83"/>
      <c r="V258" s="83"/>
      <c r="W258" s="83"/>
      <c r="X258" s="83"/>
      <c r="Y258" s="83"/>
      <c r="Z258" s="83"/>
    </row>
    <row r="259">
      <c r="T259" s="83"/>
      <c r="U259" s="83"/>
      <c r="V259" s="83"/>
      <c r="W259" s="83"/>
      <c r="X259" s="83"/>
      <c r="Y259" s="83"/>
      <c r="Z259" s="83"/>
    </row>
    <row r="260">
      <c r="T260" s="83"/>
      <c r="U260" s="83"/>
      <c r="V260" s="83"/>
      <c r="W260" s="83"/>
      <c r="X260" s="83"/>
      <c r="Y260" s="83"/>
      <c r="Z260" s="83"/>
    </row>
    <row r="261">
      <c r="T261" s="83"/>
      <c r="U261" s="83"/>
      <c r="V261" s="83"/>
      <c r="W261" s="83"/>
      <c r="X261" s="83"/>
      <c r="Y261" s="83"/>
      <c r="Z261" s="83"/>
    </row>
    <row r="262">
      <c r="T262" s="83"/>
      <c r="U262" s="83"/>
      <c r="V262" s="83"/>
      <c r="W262" s="83"/>
      <c r="X262" s="83"/>
      <c r="Y262" s="83"/>
      <c r="Z262" s="83"/>
    </row>
    <row r="263">
      <c r="T263" s="83"/>
      <c r="U263" s="83"/>
      <c r="V263" s="83"/>
      <c r="W263" s="83"/>
      <c r="X263" s="83"/>
      <c r="Y263" s="83"/>
      <c r="Z263" s="83"/>
    </row>
    <row r="264">
      <c r="T264" s="83"/>
      <c r="U264" s="83"/>
      <c r="V264" s="83"/>
      <c r="W264" s="83"/>
      <c r="X264" s="83"/>
      <c r="Y264" s="83"/>
      <c r="Z264" s="83"/>
    </row>
    <row r="265">
      <c r="T265" s="83"/>
      <c r="U265" s="83"/>
      <c r="V265" s="83"/>
      <c r="W265" s="83"/>
      <c r="X265" s="83"/>
      <c r="Y265" s="83"/>
      <c r="Z265" s="83"/>
    </row>
    <row r="266">
      <c r="T266" s="83"/>
      <c r="U266" s="83"/>
      <c r="V266" s="83"/>
      <c r="W266" s="83"/>
      <c r="X266" s="83"/>
      <c r="Y266" s="83"/>
      <c r="Z266" s="83"/>
    </row>
    <row r="267">
      <c r="T267" s="83"/>
      <c r="U267" s="83"/>
      <c r="V267" s="83"/>
      <c r="W267" s="83"/>
      <c r="X267" s="83"/>
      <c r="Y267" s="83"/>
      <c r="Z267" s="83"/>
    </row>
    <row r="268">
      <c r="T268" s="83"/>
      <c r="U268" s="83"/>
      <c r="V268" s="83"/>
      <c r="W268" s="83"/>
      <c r="X268" s="83"/>
      <c r="Y268" s="83"/>
      <c r="Z268" s="83"/>
    </row>
    <row r="269">
      <c r="T269" s="83"/>
      <c r="U269" s="83"/>
      <c r="V269" s="83"/>
      <c r="W269" s="83"/>
      <c r="X269" s="83"/>
      <c r="Y269" s="83"/>
      <c r="Z269" s="83"/>
    </row>
    <row r="270">
      <c r="T270" s="83"/>
      <c r="U270" s="83"/>
      <c r="V270" s="83"/>
      <c r="W270" s="83"/>
      <c r="X270" s="83"/>
      <c r="Y270" s="83"/>
      <c r="Z270" s="83"/>
    </row>
    <row r="271">
      <c r="T271" s="83"/>
      <c r="U271" s="83"/>
      <c r="V271" s="83"/>
      <c r="W271" s="83"/>
      <c r="X271" s="83"/>
      <c r="Y271" s="83"/>
      <c r="Z271" s="83"/>
    </row>
    <row r="272">
      <c r="T272" s="83"/>
      <c r="U272" s="83"/>
      <c r="V272" s="83"/>
      <c r="W272" s="83"/>
      <c r="X272" s="83"/>
      <c r="Y272" s="83"/>
      <c r="Z272" s="83"/>
    </row>
    <row r="273">
      <c r="T273" s="83"/>
      <c r="U273" s="83"/>
      <c r="V273" s="83"/>
      <c r="W273" s="83"/>
      <c r="X273" s="83"/>
      <c r="Y273" s="83"/>
      <c r="Z273" s="83"/>
    </row>
    <row r="274">
      <c r="T274" s="83"/>
      <c r="U274" s="83"/>
      <c r="V274" s="83"/>
      <c r="W274" s="83"/>
      <c r="X274" s="83"/>
      <c r="Y274" s="83"/>
      <c r="Z274" s="83"/>
    </row>
    <row r="275">
      <c r="T275" s="83"/>
      <c r="U275" s="83"/>
      <c r="V275" s="83"/>
      <c r="W275" s="83"/>
      <c r="X275" s="83"/>
      <c r="Y275" s="83"/>
      <c r="Z275" s="83"/>
    </row>
    <row r="276">
      <c r="T276" s="83"/>
      <c r="U276" s="83"/>
      <c r="V276" s="83"/>
      <c r="W276" s="83"/>
      <c r="X276" s="83"/>
      <c r="Y276" s="83"/>
      <c r="Z276" s="83"/>
    </row>
    <row r="277">
      <c r="T277" s="83"/>
      <c r="U277" s="83"/>
      <c r="V277" s="83"/>
      <c r="W277" s="83"/>
      <c r="X277" s="83"/>
      <c r="Y277" s="83"/>
      <c r="Z277" s="83"/>
    </row>
    <row r="278">
      <c r="T278" s="83"/>
      <c r="U278" s="83"/>
      <c r="V278" s="83"/>
      <c r="W278" s="83"/>
      <c r="X278" s="83"/>
      <c r="Y278" s="83"/>
      <c r="Z278" s="83"/>
    </row>
    <row r="279">
      <c r="T279" s="83"/>
      <c r="U279" s="83"/>
      <c r="V279" s="83"/>
      <c r="W279" s="83"/>
      <c r="X279" s="83"/>
      <c r="Y279" s="83"/>
      <c r="Z279" s="83"/>
    </row>
    <row r="280">
      <c r="T280" s="83"/>
      <c r="U280" s="83"/>
      <c r="V280" s="83"/>
      <c r="W280" s="83"/>
      <c r="X280" s="83"/>
      <c r="Y280" s="83"/>
      <c r="Z280" s="83"/>
    </row>
    <row r="281">
      <c r="T281" s="83"/>
      <c r="U281" s="83"/>
      <c r="V281" s="83"/>
      <c r="W281" s="83"/>
      <c r="X281" s="83"/>
      <c r="Y281" s="83"/>
      <c r="Z281" s="83"/>
    </row>
    <row r="282">
      <c r="T282" s="83"/>
      <c r="U282" s="83"/>
      <c r="V282" s="83"/>
      <c r="W282" s="83"/>
      <c r="X282" s="83"/>
      <c r="Y282" s="83"/>
      <c r="Z282" s="83"/>
    </row>
    <row r="283">
      <c r="T283" s="83"/>
      <c r="U283" s="83"/>
      <c r="V283" s="83"/>
      <c r="W283" s="83"/>
      <c r="X283" s="83"/>
      <c r="Y283" s="83"/>
      <c r="Z283" s="83"/>
    </row>
    <row r="284">
      <c r="T284" s="83"/>
      <c r="U284" s="83"/>
      <c r="V284" s="83"/>
      <c r="W284" s="83"/>
      <c r="X284" s="83"/>
      <c r="Y284" s="83"/>
      <c r="Z284" s="83"/>
    </row>
    <row r="285">
      <c r="T285" s="83"/>
      <c r="U285" s="83"/>
      <c r="V285" s="83"/>
      <c r="W285" s="83"/>
      <c r="X285" s="83"/>
      <c r="Y285" s="83"/>
      <c r="Z285" s="83"/>
    </row>
    <row r="286">
      <c r="T286" s="83"/>
      <c r="U286" s="83"/>
      <c r="V286" s="83"/>
      <c r="W286" s="83"/>
      <c r="X286" s="83"/>
      <c r="Y286" s="83"/>
      <c r="Z286" s="83"/>
    </row>
    <row r="287">
      <c r="T287" s="83"/>
      <c r="U287" s="83"/>
      <c r="V287" s="83"/>
      <c r="W287" s="83"/>
      <c r="X287" s="83"/>
      <c r="Y287" s="83"/>
      <c r="Z287" s="83"/>
    </row>
    <row r="288">
      <c r="T288" s="83"/>
      <c r="U288" s="83"/>
      <c r="V288" s="83"/>
      <c r="W288" s="83"/>
      <c r="X288" s="83"/>
      <c r="Y288" s="83"/>
      <c r="Z288" s="83"/>
    </row>
    <row r="289">
      <c r="T289" s="83"/>
      <c r="U289" s="83"/>
      <c r="V289" s="83"/>
      <c r="W289" s="83"/>
      <c r="X289" s="83"/>
      <c r="Y289" s="83"/>
      <c r="Z289" s="83"/>
    </row>
    <row r="290">
      <c r="T290" s="83"/>
      <c r="U290" s="83"/>
      <c r="V290" s="83"/>
      <c r="W290" s="83"/>
      <c r="X290" s="83"/>
      <c r="Y290" s="83"/>
      <c r="Z290" s="83"/>
    </row>
    <row r="291">
      <c r="T291" s="83"/>
      <c r="U291" s="83"/>
      <c r="V291" s="83"/>
      <c r="W291" s="83"/>
      <c r="X291" s="83"/>
      <c r="Y291" s="83"/>
      <c r="Z291" s="83"/>
    </row>
    <row r="292">
      <c r="T292" s="83"/>
      <c r="U292" s="83"/>
      <c r="V292" s="83"/>
      <c r="W292" s="83"/>
      <c r="X292" s="83"/>
      <c r="Y292" s="83"/>
      <c r="Z292" s="83"/>
    </row>
    <row r="293">
      <c r="T293" s="83"/>
      <c r="U293" s="83"/>
      <c r="V293" s="83"/>
      <c r="W293" s="83"/>
      <c r="X293" s="83"/>
      <c r="Y293" s="83"/>
      <c r="Z293" s="83"/>
    </row>
    <row r="294">
      <c r="T294" s="83"/>
      <c r="U294" s="83"/>
      <c r="V294" s="83"/>
      <c r="W294" s="83"/>
      <c r="X294" s="83"/>
      <c r="Y294" s="83"/>
      <c r="Z294" s="83"/>
    </row>
    <row r="295">
      <c r="T295" s="83"/>
      <c r="U295" s="83"/>
      <c r="V295" s="83"/>
      <c r="W295" s="83"/>
      <c r="X295" s="83"/>
      <c r="Y295" s="83"/>
      <c r="Z295" s="83"/>
    </row>
    <row r="296">
      <c r="T296" s="83"/>
      <c r="U296" s="83"/>
      <c r="V296" s="83"/>
      <c r="W296" s="83"/>
      <c r="X296" s="83"/>
      <c r="Y296" s="83"/>
      <c r="Z296" s="83"/>
    </row>
    <row r="297">
      <c r="T297" s="83"/>
      <c r="U297" s="83"/>
      <c r="V297" s="83"/>
      <c r="W297" s="83"/>
      <c r="X297" s="83"/>
      <c r="Y297" s="83"/>
      <c r="Z297" s="83"/>
    </row>
    <row r="298">
      <c r="T298" s="83"/>
      <c r="U298" s="83"/>
      <c r="V298" s="83"/>
      <c r="W298" s="83"/>
      <c r="X298" s="83"/>
      <c r="Y298" s="83"/>
      <c r="Z298" s="83"/>
    </row>
    <row r="299">
      <c r="T299" s="83"/>
      <c r="U299" s="83"/>
      <c r="V299" s="83"/>
      <c r="W299" s="83"/>
      <c r="X299" s="83"/>
      <c r="Y299" s="83"/>
      <c r="Z299" s="83"/>
    </row>
    <row r="300">
      <c r="T300" s="83"/>
      <c r="U300" s="83"/>
      <c r="V300" s="83"/>
      <c r="W300" s="83"/>
      <c r="X300" s="83"/>
      <c r="Y300" s="83"/>
      <c r="Z300" s="83"/>
    </row>
    <row r="301">
      <c r="T301" s="83"/>
      <c r="U301" s="83"/>
      <c r="V301" s="83"/>
      <c r="W301" s="83"/>
      <c r="X301" s="83"/>
      <c r="Y301" s="83"/>
      <c r="Z301" s="83"/>
    </row>
    <row r="302">
      <c r="T302" s="83"/>
      <c r="U302" s="83"/>
      <c r="V302" s="83"/>
      <c r="W302" s="83"/>
      <c r="X302" s="83"/>
      <c r="Y302" s="83"/>
      <c r="Z302" s="83"/>
    </row>
    <row r="303">
      <c r="T303" s="83"/>
      <c r="U303" s="83"/>
      <c r="V303" s="83"/>
      <c r="W303" s="83"/>
      <c r="X303" s="83"/>
      <c r="Y303" s="83"/>
      <c r="Z303" s="83"/>
    </row>
    <row r="304">
      <c r="T304" s="83"/>
      <c r="U304" s="83"/>
      <c r="V304" s="83"/>
      <c r="W304" s="83"/>
      <c r="X304" s="83"/>
      <c r="Y304" s="83"/>
      <c r="Z304" s="83"/>
    </row>
    <row r="305">
      <c r="T305" s="83"/>
      <c r="U305" s="83"/>
      <c r="V305" s="83"/>
      <c r="W305" s="83"/>
      <c r="X305" s="83"/>
      <c r="Y305" s="83"/>
      <c r="Z305" s="83"/>
    </row>
    <row r="306">
      <c r="T306" s="83"/>
      <c r="U306" s="83"/>
      <c r="V306" s="83"/>
      <c r="W306" s="83"/>
      <c r="X306" s="83"/>
      <c r="Y306" s="83"/>
      <c r="Z306" s="83"/>
    </row>
    <row r="307">
      <c r="T307" s="83"/>
      <c r="U307" s="83"/>
      <c r="V307" s="83"/>
      <c r="W307" s="83"/>
      <c r="X307" s="83"/>
      <c r="Y307" s="83"/>
      <c r="Z307" s="83"/>
    </row>
    <row r="308">
      <c r="T308" s="83"/>
      <c r="U308" s="83"/>
      <c r="V308" s="83"/>
      <c r="W308" s="83"/>
      <c r="X308" s="83"/>
      <c r="Y308" s="83"/>
      <c r="Z308" s="83"/>
    </row>
    <row r="309">
      <c r="T309" s="83"/>
      <c r="U309" s="83"/>
      <c r="V309" s="83"/>
      <c r="W309" s="83"/>
      <c r="X309" s="83"/>
      <c r="Y309" s="83"/>
      <c r="Z309" s="83"/>
    </row>
    <row r="310">
      <c r="T310" s="83"/>
      <c r="U310" s="83"/>
      <c r="V310" s="83"/>
      <c r="W310" s="83"/>
      <c r="X310" s="83"/>
      <c r="Y310" s="83"/>
      <c r="Z310" s="83"/>
    </row>
    <row r="311">
      <c r="T311" s="83"/>
      <c r="U311" s="83"/>
      <c r="V311" s="83"/>
      <c r="W311" s="83"/>
      <c r="X311" s="83"/>
      <c r="Y311" s="83"/>
      <c r="Z311" s="83"/>
    </row>
    <row r="312">
      <c r="T312" s="83"/>
      <c r="U312" s="83"/>
      <c r="V312" s="83"/>
      <c r="W312" s="83"/>
      <c r="X312" s="83"/>
      <c r="Y312" s="83"/>
      <c r="Z312" s="83"/>
    </row>
    <row r="313">
      <c r="T313" s="83"/>
      <c r="U313" s="83"/>
      <c r="V313" s="83"/>
      <c r="W313" s="83"/>
      <c r="X313" s="83"/>
      <c r="Y313" s="83"/>
      <c r="Z313" s="83"/>
    </row>
    <row r="314">
      <c r="T314" s="83"/>
      <c r="U314" s="83"/>
      <c r="V314" s="83"/>
      <c r="W314" s="83"/>
      <c r="X314" s="83"/>
      <c r="Y314" s="83"/>
      <c r="Z314" s="83"/>
    </row>
    <row r="315">
      <c r="T315" s="83"/>
      <c r="U315" s="83"/>
      <c r="V315" s="83"/>
      <c r="W315" s="83"/>
      <c r="X315" s="83"/>
      <c r="Y315" s="83"/>
      <c r="Z315" s="83"/>
    </row>
    <row r="316">
      <c r="T316" s="83"/>
      <c r="U316" s="83"/>
      <c r="V316" s="83"/>
      <c r="W316" s="83"/>
      <c r="X316" s="83"/>
      <c r="Y316" s="83"/>
      <c r="Z316" s="83"/>
    </row>
    <row r="317">
      <c r="T317" s="83"/>
      <c r="U317" s="83"/>
      <c r="V317" s="83"/>
      <c r="W317" s="83"/>
      <c r="X317" s="83"/>
      <c r="Y317" s="83"/>
      <c r="Z317" s="83"/>
    </row>
    <row r="318">
      <c r="T318" s="83"/>
      <c r="U318" s="83"/>
      <c r="V318" s="83"/>
      <c r="W318" s="83"/>
      <c r="X318" s="83"/>
      <c r="Y318" s="83"/>
      <c r="Z318" s="83"/>
    </row>
    <row r="319">
      <c r="T319" s="83"/>
      <c r="U319" s="83"/>
      <c r="V319" s="83"/>
      <c r="W319" s="83"/>
      <c r="X319" s="83"/>
      <c r="Y319" s="83"/>
      <c r="Z319" s="83"/>
    </row>
    <row r="320">
      <c r="T320" s="83"/>
      <c r="U320" s="83"/>
      <c r="V320" s="83"/>
      <c r="W320" s="83"/>
      <c r="X320" s="83"/>
      <c r="Y320" s="83"/>
      <c r="Z320" s="83"/>
    </row>
    <row r="321">
      <c r="T321" s="83"/>
      <c r="U321" s="83"/>
      <c r="V321" s="83"/>
      <c r="W321" s="83"/>
      <c r="X321" s="83"/>
      <c r="Y321" s="83"/>
      <c r="Z321" s="83"/>
    </row>
    <row r="322">
      <c r="T322" s="83"/>
      <c r="U322" s="83"/>
      <c r="V322" s="83"/>
      <c r="W322" s="83"/>
      <c r="X322" s="83"/>
      <c r="Y322" s="83"/>
      <c r="Z322" s="83"/>
    </row>
    <row r="323">
      <c r="T323" s="83"/>
      <c r="U323" s="83"/>
      <c r="V323" s="83"/>
      <c r="W323" s="83"/>
      <c r="X323" s="83"/>
      <c r="Y323" s="83"/>
      <c r="Z323" s="83"/>
    </row>
    <row r="324">
      <c r="T324" s="83"/>
      <c r="U324" s="83"/>
      <c r="V324" s="83"/>
      <c r="W324" s="83"/>
      <c r="X324" s="83"/>
      <c r="Y324" s="83"/>
      <c r="Z324" s="83"/>
    </row>
    <row r="325">
      <c r="T325" s="83"/>
      <c r="U325" s="83"/>
      <c r="V325" s="83"/>
      <c r="W325" s="83"/>
      <c r="X325" s="83"/>
      <c r="Y325" s="83"/>
      <c r="Z325" s="83"/>
    </row>
    <row r="326">
      <c r="T326" s="83"/>
      <c r="U326" s="83"/>
      <c r="V326" s="83"/>
      <c r="W326" s="83"/>
      <c r="X326" s="83"/>
      <c r="Y326" s="83"/>
      <c r="Z326" s="83"/>
    </row>
    <row r="327">
      <c r="T327" s="83"/>
      <c r="U327" s="83"/>
      <c r="V327" s="83"/>
      <c r="W327" s="83"/>
      <c r="X327" s="83"/>
      <c r="Y327" s="83"/>
      <c r="Z327" s="83"/>
    </row>
    <row r="328">
      <c r="T328" s="83"/>
      <c r="U328" s="83"/>
      <c r="V328" s="83"/>
      <c r="W328" s="83"/>
      <c r="X328" s="83"/>
      <c r="Y328" s="83"/>
      <c r="Z328" s="83"/>
    </row>
    <row r="329">
      <c r="T329" s="83"/>
      <c r="U329" s="83"/>
      <c r="V329" s="83"/>
      <c r="W329" s="83"/>
      <c r="X329" s="83"/>
      <c r="Y329" s="83"/>
      <c r="Z329" s="83"/>
    </row>
    <row r="330">
      <c r="T330" s="83"/>
      <c r="U330" s="83"/>
      <c r="V330" s="83"/>
      <c r="W330" s="83"/>
      <c r="X330" s="83"/>
      <c r="Y330" s="83"/>
      <c r="Z330" s="83"/>
    </row>
    <row r="331">
      <c r="T331" s="83"/>
      <c r="U331" s="83"/>
      <c r="V331" s="83"/>
      <c r="W331" s="83"/>
      <c r="X331" s="83"/>
      <c r="Y331" s="83"/>
      <c r="Z331" s="83"/>
    </row>
    <row r="332">
      <c r="T332" s="83"/>
      <c r="U332" s="83"/>
      <c r="V332" s="83"/>
      <c r="W332" s="83"/>
      <c r="X332" s="83"/>
      <c r="Y332" s="83"/>
      <c r="Z332" s="83"/>
    </row>
    <row r="333">
      <c r="T333" s="83"/>
      <c r="U333" s="83"/>
      <c r="V333" s="83"/>
      <c r="W333" s="83"/>
      <c r="X333" s="83"/>
      <c r="Y333" s="83"/>
      <c r="Z333" s="83"/>
    </row>
    <row r="334">
      <c r="T334" s="83"/>
      <c r="U334" s="83"/>
      <c r="V334" s="83"/>
      <c r="W334" s="83"/>
      <c r="X334" s="83"/>
      <c r="Y334" s="83"/>
      <c r="Z334" s="83"/>
    </row>
    <row r="335">
      <c r="T335" s="83"/>
      <c r="U335" s="83"/>
      <c r="V335" s="83"/>
      <c r="W335" s="83"/>
      <c r="X335" s="83"/>
      <c r="Y335" s="83"/>
      <c r="Z335" s="83"/>
    </row>
    <row r="336">
      <c r="T336" s="83"/>
      <c r="U336" s="83"/>
      <c r="V336" s="83"/>
      <c r="W336" s="83"/>
      <c r="X336" s="83"/>
      <c r="Y336" s="83"/>
      <c r="Z336" s="83"/>
    </row>
    <row r="337">
      <c r="T337" s="83"/>
      <c r="U337" s="83"/>
      <c r="V337" s="83"/>
      <c r="W337" s="83"/>
      <c r="X337" s="83"/>
      <c r="Y337" s="83"/>
      <c r="Z337" s="83"/>
    </row>
    <row r="338">
      <c r="T338" s="83"/>
      <c r="U338" s="83"/>
      <c r="V338" s="83"/>
      <c r="W338" s="83"/>
      <c r="X338" s="83"/>
      <c r="Y338" s="83"/>
      <c r="Z338" s="83"/>
    </row>
    <row r="339">
      <c r="T339" s="83"/>
      <c r="U339" s="83"/>
      <c r="V339" s="83"/>
      <c r="W339" s="83"/>
      <c r="X339" s="83"/>
      <c r="Y339" s="83"/>
      <c r="Z339" s="83"/>
    </row>
    <row r="340">
      <c r="T340" s="83"/>
      <c r="U340" s="83"/>
      <c r="V340" s="83"/>
      <c r="W340" s="83"/>
      <c r="X340" s="83"/>
      <c r="Y340" s="83"/>
      <c r="Z340" s="83"/>
    </row>
    <row r="341">
      <c r="T341" s="83"/>
      <c r="U341" s="83"/>
      <c r="V341" s="83"/>
      <c r="W341" s="83"/>
      <c r="X341" s="83"/>
      <c r="Y341" s="83"/>
      <c r="Z341" s="83"/>
    </row>
    <row r="342">
      <c r="T342" s="83"/>
      <c r="U342" s="83"/>
      <c r="V342" s="83"/>
      <c r="W342" s="83"/>
      <c r="X342" s="83"/>
      <c r="Y342" s="83"/>
      <c r="Z342" s="83"/>
    </row>
    <row r="343">
      <c r="T343" s="83"/>
      <c r="U343" s="83"/>
      <c r="V343" s="83"/>
      <c r="W343" s="83"/>
      <c r="X343" s="83"/>
      <c r="Y343" s="83"/>
      <c r="Z343" s="83"/>
    </row>
    <row r="344">
      <c r="T344" s="83"/>
      <c r="U344" s="83"/>
      <c r="V344" s="83"/>
      <c r="W344" s="83"/>
      <c r="X344" s="83"/>
      <c r="Y344" s="83"/>
      <c r="Z344" s="83"/>
    </row>
    <row r="345">
      <c r="T345" s="83"/>
      <c r="U345" s="83"/>
      <c r="V345" s="83"/>
      <c r="W345" s="83"/>
      <c r="X345" s="83"/>
      <c r="Y345" s="83"/>
      <c r="Z345" s="83"/>
    </row>
    <row r="346">
      <c r="T346" s="83"/>
      <c r="U346" s="83"/>
      <c r="V346" s="83"/>
      <c r="W346" s="83"/>
      <c r="X346" s="83"/>
      <c r="Y346" s="83"/>
      <c r="Z346" s="83"/>
    </row>
    <row r="347">
      <c r="T347" s="83"/>
      <c r="U347" s="83"/>
      <c r="V347" s="83"/>
      <c r="W347" s="83"/>
      <c r="X347" s="83"/>
      <c r="Y347" s="83"/>
      <c r="Z347" s="83"/>
    </row>
    <row r="348">
      <c r="T348" s="83"/>
      <c r="U348" s="83"/>
      <c r="V348" s="83"/>
      <c r="W348" s="83"/>
      <c r="X348" s="83"/>
      <c r="Y348" s="83"/>
      <c r="Z348" s="83"/>
    </row>
    <row r="349">
      <c r="T349" s="83"/>
      <c r="U349" s="83"/>
      <c r="V349" s="83"/>
      <c r="W349" s="83"/>
      <c r="X349" s="83"/>
      <c r="Y349" s="83"/>
      <c r="Z349" s="83"/>
    </row>
    <row r="350">
      <c r="T350" s="83"/>
      <c r="U350" s="83"/>
      <c r="V350" s="83"/>
      <c r="W350" s="83"/>
      <c r="X350" s="83"/>
      <c r="Y350" s="83"/>
      <c r="Z350" s="83"/>
    </row>
    <row r="351">
      <c r="T351" s="83"/>
      <c r="U351" s="83"/>
      <c r="V351" s="83"/>
      <c r="W351" s="83"/>
      <c r="X351" s="83"/>
      <c r="Y351" s="83"/>
      <c r="Z351" s="83"/>
    </row>
    <row r="352">
      <c r="T352" s="83"/>
      <c r="U352" s="83"/>
      <c r="V352" s="83"/>
      <c r="W352" s="83"/>
      <c r="X352" s="83"/>
      <c r="Y352" s="83"/>
      <c r="Z352" s="83"/>
    </row>
    <row r="353">
      <c r="T353" s="83"/>
      <c r="U353" s="83"/>
      <c r="V353" s="83"/>
      <c r="W353" s="83"/>
      <c r="X353" s="83"/>
      <c r="Y353" s="83"/>
      <c r="Z353" s="83"/>
    </row>
    <row r="354">
      <c r="T354" s="83"/>
      <c r="U354" s="83"/>
      <c r="V354" s="83"/>
      <c r="W354" s="83"/>
      <c r="X354" s="83"/>
      <c r="Y354" s="83"/>
      <c r="Z354" s="83"/>
    </row>
    <row r="355">
      <c r="T355" s="83"/>
      <c r="U355" s="83"/>
      <c r="V355" s="83"/>
      <c r="W355" s="83"/>
      <c r="X355" s="83"/>
      <c r="Y355" s="83"/>
      <c r="Z355" s="83"/>
    </row>
    <row r="356">
      <c r="T356" s="83"/>
      <c r="U356" s="83"/>
      <c r="V356" s="83"/>
      <c r="W356" s="83"/>
      <c r="X356" s="83"/>
      <c r="Y356" s="83"/>
      <c r="Z356" s="83"/>
    </row>
    <row r="357">
      <c r="T357" s="83"/>
      <c r="U357" s="83"/>
      <c r="V357" s="83"/>
      <c r="W357" s="83"/>
      <c r="X357" s="83"/>
      <c r="Y357" s="83"/>
      <c r="Z357" s="83"/>
    </row>
    <row r="358">
      <c r="T358" s="83"/>
      <c r="U358" s="83"/>
      <c r="V358" s="83"/>
      <c r="W358" s="83"/>
      <c r="X358" s="83"/>
      <c r="Y358" s="83"/>
      <c r="Z358" s="83"/>
    </row>
    <row r="359">
      <c r="T359" s="83"/>
      <c r="U359" s="83"/>
      <c r="V359" s="83"/>
      <c r="W359" s="83"/>
      <c r="X359" s="83"/>
      <c r="Y359" s="83"/>
      <c r="Z359" s="83"/>
    </row>
    <row r="360">
      <c r="T360" s="83"/>
      <c r="U360" s="83"/>
      <c r="V360" s="83"/>
      <c r="W360" s="83"/>
      <c r="X360" s="83"/>
      <c r="Y360" s="83"/>
      <c r="Z360" s="83"/>
    </row>
    <row r="361">
      <c r="T361" s="83"/>
      <c r="U361" s="83"/>
      <c r="V361" s="83"/>
      <c r="W361" s="83"/>
      <c r="X361" s="83"/>
      <c r="Y361" s="83"/>
      <c r="Z361" s="83"/>
    </row>
    <row r="362">
      <c r="T362" s="83"/>
      <c r="U362" s="83"/>
      <c r="V362" s="83"/>
      <c r="W362" s="83"/>
      <c r="X362" s="83"/>
      <c r="Y362" s="83"/>
      <c r="Z362" s="83"/>
    </row>
    <row r="363">
      <c r="T363" s="83"/>
      <c r="U363" s="83"/>
      <c r="V363" s="83"/>
      <c r="W363" s="83"/>
      <c r="X363" s="83"/>
      <c r="Y363" s="83"/>
      <c r="Z363" s="83"/>
    </row>
    <row r="364">
      <c r="T364" s="83"/>
      <c r="U364" s="83"/>
      <c r="V364" s="83"/>
      <c r="W364" s="83"/>
      <c r="X364" s="83"/>
      <c r="Y364" s="83"/>
      <c r="Z364" s="83"/>
    </row>
    <row r="365">
      <c r="T365" s="83"/>
      <c r="U365" s="83"/>
      <c r="V365" s="83"/>
      <c r="W365" s="83"/>
      <c r="X365" s="83"/>
      <c r="Y365" s="83"/>
      <c r="Z365" s="83"/>
    </row>
    <row r="366">
      <c r="T366" s="83"/>
      <c r="U366" s="83"/>
      <c r="V366" s="83"/>
      <c r="W366" s="83"/>
      <c r="X366" s="83"/>
      <c r="Y366" s="83"/>
      <c r="Z366" s="83"/>
    </row>
    <row r="367">
      <c r="T367" s="83"/>
      <c r="U367" s="83"/>
      <c r="V367" s="83"/>
      <c r="W367" s="83"/>
      <c r="X367" s="83"/>
      <c r="Y367" s="83"/>
      <c r="Z367" s="83"/>
    </row>
    <row r="368">
      <c r="T368" s="83"/>
      <c r="U368" s="83"/>
      <c r="V368" s="83"/>
      <c r="W368" s="83"/>
      <c r="X368" s="83"/>
      <c r="Y368" s="83"/>
      <c r="Z368" s="83"/>
    </row>
    <row r="369">
      <c r="T369" s="83"/>
      <c r="U369" s="83"/>
      <c r="V369" s="83"/>
      <c r="W369" s="83"/>
      <c r="X369" s="83"/>
      <c r="Y369" s="83"/>
      <c r="Z369" s="83"/>
    </row>
    <row r="370">
      <c r="T370" s="83"/>
      <c r="U370" s="83"/>
      <c r="V370" s="83"/>
      <c r="W370" s="83"/>
      <c r="X370" s="83"/>
      <c r="Y370" s="83"/>
      <c r="Z370" s="83"/>
    </row>
    <row r="371">
      <c r="T371" s="83"/>
      <c r="U371" s="83"/>
      <c r="V371" s="83"/>
      <c r="W371" s="83"/>
      <c r="X371" s="83"/>
      <c r="Y371" s="83"/>
      <c r="Z371" s="83"/>
    </row>
    <row r="372">
      <c r="T372" s="83"/>
      <c r="U372" s="83"/>
      <c r="V372" s="83"/>
      <c r="W372" s="83"/>
      <c r="X372" s="83"/>
      <c r="Y372" s="83"/>
      <c r="Z372" s="83"/>
    </row>
    <row r="373">
      <c r="T373" s="83"/>
      <c r="U373" s="83"/>
      <c r="V373" s="83"/>
      <c r="W373" s="83"/>
      <c r="X373" s="83"/>
      <c r="Y373" s="83"/>
      <c r="Z373" s="83"/>
    </row>
    <row r="374">
      <c r="T374" s="83"/>
      <c r="U374" s="83"/>
      <c r="V374" s="83"/>
      <c r="W374" s="83"/>
      <c r="X374" s="83"/>
      <c r="Y374" s="83"/>
      <c r="Z374" s="83"/>
    </row>
    <row r="375">
      <c r="T375" s="83"/>
      <c r="U375" s="83"/>
      <c r="V375" s="83"/>
      <c r="W375" s="83"/>
      <c r="X375" s="83"/>
      <c r="Y375" s="83"/>
      <c r="Z375" s="83"/>
    </row>
    <row r="376">
      <c r="T376" s="83"/>
      <c r="U376" s="83"/>
      <c r="V376" s="83"/>
      <c r="W376" s="83"/>
      <c r="X376" s="83"/>
      <c r="Y376" s="83"/>
      <c r="Z376" s="83"/>
    </row>
    <row r="377">
      <c r="T377" s="83"/>
      <c r="U377" s="83"/>
      <c r="V377" s="83"/>
      <c r="W377" s="83"/>
      <c r="X377" s="83"/>
      <c r="Y377" s="83"/>
      <c r="Z377" s="83"/>
    </row>
    <row r="378">
      <c r="T378" s="83"/>
      <c r="U378" s="83"/>
      <c r="V378" s="83"/>
      <c r="W378" s="83"/>
      <c r="X378" s="83"/>
      <c r="Y378" s="83"/>
      <c r="Z378" s="83"/>
    </row>
    <row r="379">
      <c r="T379" s="83"/>
      <c r="U379" s="83"/>
      <c r="V379" s="83"/>
      <c r="W379" s="83"/>
      <c r="X379" s="83"/>
      <c r="Y379" s="83"/>
      <c r="Z379" s="83"/>
    </row>
    <row r="380">
      <c r="T380" s="83"/>
      <c r="U380" s="83"/>
      <c r="V380" s="83"/>
      <c r="W380" s="83"/>
      <c r="X380" s="83"/>
      <c r="Y380" s="83"/>
      <c r="Z380" s="83"/>
    </row>
    <row r="381">
      <c r="T381" s="83"/>
      <c r="U381" s="83"/>
      <c r="V381" s="83"/>
      <c r="W381" s="83"/>
      <c r="X381" s="83"/>
      <c r="Y381" s="83"/>
      <c r="Z381" s="83"/>
    </row>
    <row r="382">
      <c r="T382" s="83"/>
      <c r="U382" s="83"/>
      <c r="V382" s="83"/>
      <c r="W382" s="83"/>
      <c r="X382" s="83"/>
      <c r="Y382" s="83"/>
      <c r="Z382" s="83"/>
    </row>
    <row r="383">
      <c r="T383" s="83"/>
      <c r="U383" s="83"/>
      <c r="V383" s="83"/>
      <c r="W383" s="83"/>
      <c r="X383" s="83"/>
      <c r="Y383" s="83"/>
      <c r="Z383" s="83"/>
    </row>
    <row r="384">
      <c r="T384" s="83"/>
      <c r="U384" s="83"/>
      <c r="V384" s="83"/>
      <c r="W384" s="83"/>
      <c r="X384" s="83"/>
      <c r="Y384" s="83"/>
      <c r="Z384" s="83"/>
    </row>
    <row r="385">
      <c r="T385" s="83"/>
      <c r="U385" s="83"/>
      <c r="V385" s="83"/>
      <c r="W385" s="83"/>
      <c r="X385" s="83"/>
      <c r="Y385" s="83"/>
      <c r="Z385" s="83"/>
    </row>
    <row r="386">
      <c r="T386" s="83"/>
      <c r="U386" s="83"/>
      <c r="V386" s="83"/>
      <c r="W386" s="83"/>
      <c r="X386" s="83"/>
      <c r="Y386" s="83"/>
      <c r="Z386" s="83"/>
    </row>
    <row r="387">
      <c r="T387" s="83"/>
      <c r="U387" s="83"/>
      <c r="V387" s="83"/>
      <c r="W387" s="83"/>
      <c r="X387" s="83"/>
      <c r="Y387" s="83"/>
      <c r="Z387" s="83"/>
    </row>
    <row r="388">
      <c r="T388" s="83"/>
      <c r="U388" s="83"/>
      <c r="V388" s="83"/>
      <c r="W388" s="83"/>
      <c r="X388" s="83"/>
      <c r="Y388" s="83"/>
      <c r="Z388" s="83"/>
    </row>
    <row r="389">
      <c r="T389" s="83"/>
      <c r="U389" s="83"/>
      <c r="V389" s="83"/>
      <c r="W389" s="83"/>
      <c r="X389" s="83"/>
      <c r="Y389" s="83"/>
      <c r="Z389" s="83"/>
    </row>
    <row r="390">
      <c r="T390" s="83"/>
      <c r="U390" s="83"/>
      <c r="V390" s="83"/>
      <c r="W390" s="83"/>
      <c r="X390" s="83"/>
      <c r="Y390" s="83"/>
      <c r="Z390" s="83"/>
    </row>
    <row r="391">
      <c r="T391" s="83"/>
      <c r="U391" s="83"/>
      <c r="V391" s="83"/>
      <c r="W391" s="83"/>
      <c r="X391" s="83"/>
      <c r="Y391" s="83"/>
      <c r="Z391" s="83"/>
    </row>
    <row r="392">
      <c r="T392" s="83"/>
      <c r="U392" s="83"/>
      <c r="V392" s="83"/>
      <c r="W392" s="83"/>
      <c r="X392" s="83"/>
      <c r="Y392" s="83"/>
      <c r="Z392" s="83"/>
    </row>
    <row r="393">
      <c r="T393" s="83"/>
      <c r="U393" s="83"/>
      <c r="V393" s="83"/>
      <c r="W393" s="83"/>
      <c r="X393" s="83"/>
      <c r="Y393" s="83"/>
      <c r="Z393" s="83"/>
    </row>
    <row r="394">
      <c r="T394" s="83"/>
      <c r="U394" s="83"/>
      <c r="V394" s="83"/>
      <c r="W394" s="83"/>
      <c r="X394" s="83"/>
      <c r="Y394" s="83"/>
      <c r="Z394" s="83"/>
    </row>
    <row r="395">
      <c r="T395" s="83"/>
      <c r="U395" s="83"/>
      <c r="V395" s="83"/>
      <c r="W395" s="83"/>
      <c r="X395" s="83"/>
      <c r="Y395" s="83"/>
      <c r="Z395" s="83"/>
    </row>
    <row r="396">
      <c r="T396" s="83"/>
      <c r="U396" s="83"/>
      <c r="V396" s="83"/>
      <c r="W396" s="83"/>
      <c r="X396" s="83"/>
      <c r="Y396" s="83"/>
      <c r="Z396" s="83"/>
    </row>
    <row r="397">
      <c r="T397" s="83"/>
      <c r="U397" s="83"/>
      <c r="V397" s="83"/>
      <c r="W397" s="83"/>
      <c r="X397" s="83"/>
      <c r="Y397" s="83"/>
      <c r="Z397" s="83"/>
    </row>
    <row r="398">
      <c r="T398" s="83"/>
      <c r="U398" s="83"/>
      <c r="V398" s="83"/>
      <c r="W398" s="83"/>
      <c r="X398" s="83"/>
      <c r="Y398" s="83"/>
      <c r="Z398" s="83"/>
    </row>
    <row r="399">
      <c r="T399" s="83"/>
      <c r="U399" s="83"/>
      <c r="V399" s="83"/>
      <c r="W399" s="83"/>
      <c r="X399" s="83"/>
      <c r="Y399" s="83"/>
      <c r="Z399" s="83"/>
    </row>
    <row r="400">
      <c r="T400" s="83"/>
      <c r="U400" s="83"/>
      <c r="V400" s="83"/>
      <c r="W400" s="83"/>
      <c r="X400" s="83"/>
      <c r="Y400" s="83"/>
      <c r="Z400" s="83"/>
    </row>
    <row r="401">
      <c r="T401" s="83"/>
      <c r="U401" s="83"/>
      <c r="V401" s="83"/>
      <c r="W401" s="83"/>
      <c r="X401" s="83"/>
      <c r="Y401" s="83"/>
      <c r="Z401" s="83"/>
    </row>
    <row r="402">
      <c r="T402" s="83"/>
      <c r="U402" s="83"/>
      <c r="V402" s="83"/>
      <c r="W402" s="83"/>
      <c r="X402" s="83"/>
      <c r="Y402" s="83"/>
      <c r="Z402" s="83"/>
    </row>
    <row r="403">
      <c r="T403" s="83"/>
      <c r="U403" s="83"/>
      <c r="V403" s="83"/>
      <c r="W403" s="83"/>
      <c r="X403" s="83"/>
      <c r="Y403" s="83"/>
      <c r="Z403" s="83"/>
    </row>
    <row r="404">
      <c r="T404" s="83"/>
      <c r="U404" s="83"/>
      <c r="V404" s="83"/>
      <c r="W404" s="83"/>
      <c r="X404" s="83"/>
      <c r="Y404" s="83"/>
      <c r="Z404" s="83"/>
    </row>
    <row r="405">
      <c r="T405" s="83"/>
      <c r="U405" s="83"/>
      <c r="V405" s="83"/>
      <c r="W405" s="83"/>
      <c r="X405" s="83"/>
      <c r="Y405" s="83"/>
      <c r="Z405" s="83"/>
    </row>
    <row r="406">
      <c r="T406" s="83"/>
      <c r="U406" s="83"/>
      <c r="V406" s="83"/>
      <c r="W406" s="83"/>
      <c r="X406" s="83"/>
      <c r="Y406" s="83"/>
      <c r="Z406" s="83"/>
    </row>
    <row r="407">
      <c r="T407" s="83"/>
      <c r="U407" s="83"/>
      <c r="V407" s="83"/>
      <c r="W407" s="83"/>
      <c r="X407" s="83"/>
      <c r="Y407" s="83"/>
      <c r="Z407" s="83"/>
    </row>
    <row r="408">
      <c r="T408" s="83"/>
      <c r="U408" s="83"/>
      <c r="V408" s="83"/>
      <c r="W408" s="83"/>
      <c r="X408" s="83"/>
      <c r="Y408" s="83"/>
      <c r="Z408" s="83"/>
    </row>
    <row r="409">
      <c r="T409" s="83"/>
      <c r="U409" s="83"/>
      <c r="V409" s="83"/>
      <c r="W409" s="83"/>
      <c r="X409" s="83"/>
      <c r="Y409" s="83"/>
      <c r="Z409" s="83"/>
    </row>
    <row r="410">
      <c r="T410" s="83"/>
      <c r="U410" s="83"/>
      <c r="V410" s="83"/>
      <c r="W410" s="83"/>
      <c r="X410" s="83"/>
      <c r="Y410" s="83"/>
      <c r="Z410" s="83"/>
    </row>
    <row r="411">
      <c r="T411" s="83"/>
      <c r="U411" s="83"/>
      <c r="V411" s="83"/>
      <c r="W411" s="83"/>
      <c r="X411" s="83"/>
      <c r="Y411" s="83"/>
      <c r="Z411" s="83"/>
    </row>
    <row r="412">
      <c r="T412" s="83"/>
      <c r="U412" s="83"/>
      <c r="V412" s="83"/>
      <c r="W412" s="83"/>
      <c r="X412" s="83"/>
      <c r="Y412" s="83"/>
      <c r="Z412" s="83"/>
    </row>
    <row r="413">
      <c r="T413" s="83"/>
      <c r="U413" s="83"/>
      <c r="V413" s="83"/>
      <c r="W413" s="83"/>
      <c r="X413" s="83"/>
      <c r="Y413" s="83"/>
      <c r="Z413" s="83"/>
    </row>
    <row r="414">
      <c r="T414" s="83"/>
      <c r="U414" s="83"/>
      <c r="V414" s="83"/>
      <c r="W414" s="83"/>
      <c r="X414" s="83"/>
      <c r="Y414" s="83"/>
      <c r="Z414" s="83"/>
    </row>
    <row r="415">
      <c r="T415" s="83"/>
      <c r="U415" s="83"/>
      <c r="V415" s="83"/>
      <c r="W415" s="83"/>
      <c r="X415" s="83"/>
      <c r="Y415" s="83"/>
      <c r="Z415" s="83"/>
    </row>
    <row r="416">
      <c r="T416" s="83"/>
      <c r="U416" s="83"/>
      <c r="V416" s="83"/>
      <c r="W416" s="83"/>
      <c r="X416" s="83"/>
      <c r="Y416" s="83"/>
      <c r="Z416" s="83"/>
    </row>
    <row r="417">
      <c r="T417" s="83"/>
      <c r="U417" s="83"/>
      <c r="V417" s="83"/>
      <c r="W417" s="83"/>
      <c r="X417" s="83"/>
      <c r="Y417" s="83"/>
      <c r="Z417" s="83"/>
    </row>
    <row r="418">
      <c r="T418" s="83"/>
      <c r="U418" s="83"/>
      <c r="V418" s="83"/>
      <c r="W418" s="83"/>
      <c r="X418" s="83"/>
      <c r="Y418" s="83"/>
      <c r="Z418" s="83"/>
    </row>
    <row r="419">
      <c r="T419" s="83"/>
      <c r="U419" s="83"/>
      <c r="V419" s="83"/>
      <c r="W419" s="83"/>
      <c r="X419" s="83"/>
      <c r="Y419" s="83"/>
      <c r="Z419" s="83"/>
    </row>
    <row r="420">
      <c r="T420" s="83"/>
      <c r="U420" s="83"/>
      <c r="V420" s="83"/>
      <c r="W420" s="83"/>
      <c r="X420" s="83"/>
      <c r="Y420" s="83"/>
      <c r="Z420" s="83"/>
    </row>
    <row r="421">
      <c r="T421" s="83"/>
      <c r="U421" s="83"/>
      <c r="V421" s="83"/>
      <c r="W421" s="83"/>
      <c r="X421" s="83"/>
      <c r="Y421" s="83"/>
      <c r="Z421" s="83"/>
    </row>
    <row r="422">
      <c r="T422" s="83"/>
      <c r="U422" s="83"/>
      <c r="V422" s="83"/>
      <c r="W422" s="83"/>
      <c r="X422" s="83"/>
      <c r="Y422" s="83"/>
      <c r="Z422" s="83"/>
    </row>
    <row r="423">
      <c r="T423" s="83"/>
      <c r="U423" s="83"/>
      <c r="V423" s="83"/>
      <c r="W423" s="83"/>
      <c r="X423" s="83"/>
      <c r="Y423" s="83"/>
      <c r="Z423" s="83"/>
    </row>
    <row r="424">
      <c r="T424" s="83"/>
      <c r="U424" s="83"/>
      <c r="V424" s="83"/>
      <c r="W424" s="83"/>
      <c r="X424" s="83"/>
      <c r="Y424" s="83"/>
      <c r="Z424" s="83"/>
    </row>
    <row r="425">
      <c r="T425" s="83"/>
      <c r="U425" s="83"/>
      <c r="V425" s="83"/>
      <c r="W425" s="83"/>
      <c r="X425" s="83"/>
      <c r="Y425" s="83"/>
      <c r="Z425" s="83"/>
    </row>
    <row r="426">
      <c r="T426" s="83"/>
      <c r="U426" s="83"/>
      <c r="V426" s="83"/>
      <c r="W426" s="83"/>
      <c r="X426" s="83"/>
      <c r="Y426" s="83"/>
      <c r="Z426" s="83"/>
    </row>
    <row r="427">
      <c r="T427" s="83"/>
      <c r="U427" s="83"/>
      <c r="V427" s="83"/>
      <c r="W427" s="83"/>
      <c r="X427" s="83"/>
      <c r="Y427" s="83"/>
      <c r="Z427" s="83"/>
    </row>
    <row r="428">
      <c r="T428" s="83"/>
      <c r="U428" s="83"/>
      <c r="V428" s="83"/>
      <c r="W428" s="83"/>
      <c r="X428" s="83"/>
      <c r="Y428" s="83"/>
      <c r="Z428" s="83"/>
    </row>
    <row r="429">
      <c r="T429" s="83"/>
      <c r="U429" s="83"/>
      <c r="V429" s="83"/>
      <c r="W429" s="83"/>
      <c r="X429" s="83"/>
      <c r="Y429" s="83"/>
      <c r="Z429" s="83"/>
    </row>
    <row r="430">
      <c r="T430" s="83"/>
      <c r="U430" s="83"/>
      <c r="V430" s="83"/>
      <c r="W430" s="83"/>
      <c r="X430" s="83"/>
      <c r="Y430" s="83"/>
      <c r="Z430" s="83"/>
    </row>
    <row r="431">
      <c r="T431" s="83"/>
      <c r="U431" s="83"/>
      <c r="V431" s="83"/>
      <c r="W431" s="83"/>
      <c r="X431" s="83"/>
      <c r="Y431" s="83"/>
      <c r="Z431" s="83"/>
    </row>
    <row r="432">
      <c r="T432" s="83"/>
      <c r="U432" s="83"/>
      <c r="V432" s="83"/>
      <c r="W432" s="83"/>
      <c r="X432" s="83"/>
      <c r="Y432" s="83"/>
      <c r="Z432" s="83"/>
    </row>
    <row r="433">
      <c r="T433" s="83"/>
      <c r="U433" s="83"/>
      <c r="V433" s="83"/>
      <c r="W433" s="83"/>
      <c r="X433" s="83"/>
      <c r="Y433" s="83"/>
      <c r="Z433" s="83"/>
    </row>
    <row r="434">
      <c r="T434" s="83"/>
      <c r="U434" s="83"/>
      <c r="V434" s="83"/>
      <c r="W434" s="83"/>
      <c r="X434" s="83"/>
      <c r="Y434" s="83"/>
      <c r="Z434" s="83"/>
    </row>
    <row r="435">
      <c r="T435" s="83"/>
      <c r="U435" s="83"/>
      <c r="V435" s="83"/>
      <c r="W435" s="83"/>
      <c r="X435" s="83"/>
      <c r="Y435" s="83"/>
      <c r="Z435" s="83"/>
    </row>
    <row r="436">
      <c r="T436" s="83"/>
      <c r="U436" s="83"/>
      <c r="V436" s="83"/>
      <c r="W436" s="83"/>
      <c r="X436" s="83"/>
      <c r="Y436" s="83"/>
      <c r="Z436" s="83"/>
    </row>
    <row r="437">
      <c r="T437" s="83"/>
      <c r="U437" s="83"/>
      <c r="V437" s="83"/>
      <c r="W437" s="83"/>
      <c r="X437" s="83"/>
      <c r="Y437" s="83"/>
      <c r="Z437" s="83"/>
    </row>
    <row r="438">
      <c r="T438" s="83"/>
      <c r="U438" s="83"/>
      <c r="V438" s="83"/>
      <c r="W438" s="83"/>
      <c r="X438" s="83"/>
      <c r="Y438" s="83"/>
      <c r="Z438" s="83"/>
    </row>
    <row r="439">
      <c r="T439" s="83"/>
      <c r="U439" s="83"/>
      <c r="V439" s="83"/>
      <c r="W439" s="83"/>
      <c r="X439" s="83"/>
      <c r="Y439" s="83"/>
      <c r="Z439" s="83"/>
    </row>
    <row r="440">
      <c r="T440" s="83"/>
      <c r="U440" s="83"/>
      <c r="V440" s="83"/>
      <c r="W440" s="83"/>
      <c r="X440" s="83"/>
      <c r="Y440" s="83"/>
      <c r="Z440" s="83"/>
    </row>
    <row r="441">
      <c r="T441" s="83"/>
      <c r="U441" s="83"/>
      <c r="V441" s="83"/>
      <c r="W441" s="83"/>
      <c r="X441" s="83"/>
      <c r="Y441" s="83"/>
      <c r="Z441" s="83"/>
    </row>
    <row r="442">
      <c r="T442" s="83"/>
      <c r="U442" s="83"/>
      <c r="V442" s="83"/>
      <c r="W442" s="83"/>
      <c r="X442" s="83"/>
      <c r="Y442" s="83"/>
      <c r="Z442" s="83"/>
    </row>
    <row r="443">
      <c r="T443" s="83"/>
      <c r="U443" s="83"/>
      <c r="V443" s="83"/>
      <c r="W443" s="83"/>
      <c r="X443" s="83"/>
      <c r="Y443" s="83"/>
      <c r="Z443" s="83"/>
    </row>
    <row r="444">
      <c r="T444" s="83"/>
      <c r="U444" s="83"/>
      <c r="V444" s="83"/>
      <c r="W444" s="83"/>
      <c r="X444" s="83"/>
      <c r="Y444" s="83"/>
      <c r="Z444" s="83"/>
    </row>
    <row r="445">
      <c r="T445" s="83"/>
      <c r="U445" s="83"/>
      <c r="V445" s="83"/>
      <c r="W445" s="83"/>
      <c r="X445" s="83"/>
      <c r="Y445" s="83"/>
      <c r="Z445" s="83"/>
    </row>
    <row r="446">
      <c r="T446" s="83"/>
      <c r="U446" s="83"/>
      <c r="V446" s="83"/>
      <c r="W446" s="83"/>
      <c r="X446" s="83"/>
      <c r="Y446" s="83"/>
      <c r="Z446" s="83"/>
    </row>
    <row r="447">
      <c r="T447" s="83"/>
      <c r="U447" s="83"/>
      <c r="V447" s="83"/>
      <c r="W447" s="83"/>
      <c r="X447" s="83"/>
      <c r="Y447" s="83"/>
      <c r="Z447" s="83"/>
    </row>
    <row r="448">
      <c r="T448" s="83"/>
      <c r="U448" s="83"/>
      <c r="V448" s="83"/>
      <c r="W448" s="83"/>
      <c r="X448" s="83"/>
      <c r="Y448" s="83"/>
      <c r="Z448" s="83"/>
    </row>
    <row r="449">
      <c r="T449" s="83"/>
      <c r="U449" s="83"/>
      <c r="V449" s="83"/>
      <c r="W449" s="83"/>
      <c r="X449" s="83"/>
      <c r="Y449" s="83"/>
      <c r="Z449" s="83"/>
    </row>
    <row r="450">
      <c r="T450" s="83"/>
      <c r="U450" s="83"/>
      <c r="V450" s="83"/>
      <c r="W450" s="83"/>
      <c r="X450" s="83"/>
      <c r="Y450" s="83"/>
      <c r="Z450" s="83"/>
    </row>
    <row r="451">
      <c r="T451" s="83"/>
      <c r="U451" s="83"/>
      <c r="V451" s="83"/>
      <c r="W451" s="83"/>
      <c r="X451" s="83"/>
      <c r="Y451" s="83"/>
      <c r="Z451" s="83"/>
    </row>
    <row r="452">
      <c r="T452" s="83"/>
      <c r="U452" s="83"/>
      <c r="V452" s="83"/>
      <c r="W452" s="83"/>
      <c r="X452" s="83"/>
      <c r="Y452" s="83"/>
      <c r="Z452" s="83"/>
    </row>
    <row r="453">
      <c r="T453" s="83"/>
      <c r="U453" s="83"/>
      <c r="V453" s="83"/>
      <c r="W453" s="83"/>
      <c r="X453" s="83"/>
      <c r="Y453" s="83"/>
      <c r="Z453" s="83"/>
    </row>
    <row r="454">
      <c r="T454" s="83"/>
      <c r="U454" s="83"/>
      <c r="V454" s="83"/>
      <c r="W454" s="83"/>
      <c r="X454" s="83"/>
      <c r="Y454" s="83"/>
      <c r="Z454" s="83"/>
    </row>
    <row r="455">
      <c r="T455" s="83"/>
      <c r="U455" s="83"/>
      <c r="V455" s="83"/>
      <c r="W455" s="83"/>
      <c r="X455" s="83"/>
      <c r="Y455" s="83"/>
      <c r="Z455" s="83"/>
    </row>
    <row r="456">
      <c r="T456" s="83"/>
      <c r="U456" s="83"/>
      <c r="V456" s="83"/>
      <c r="W456" s="83"/>
      <c r="X456" s="83"/>
      <c r="Y456" s="83"/>
      <c r="Z456" s="83"/>
    </row>
    <row r="457">
      <c r="T457" s="83"/>
      <c r="U457" s="83"/>
      <c r="V457" s="83"/>
      <c r="W457" s="83"/>
      <c r="X457" s="83"/>
      <c r="Y457" s="83"/>
      <c r="Z457" s="83"/>
    </row>
    <row r="458">
      <c r="T458" s="83"/>
      <c r="U458" s="83"/>
      <c r="V458" s="83"/>
      <c r="W458" s="83"/>
      <c r="X458" s="83"/>
      <c r="Y458" s="83"/>
      <c r="Z458" s="83"/>
    </row>
    <row r="459">
      <c r="T459" s="83"/>
      <c r="U459" s="83"/>
      <c r="V459" s="83"/>
      <c r="W459" s="83"/>
      <c r="X459" s="83"/>
      <c r="Y459" s="83"/>
      <c r="Z459" s="83"/>
    </row>
    <row r="460">
      <c r="T460" s="83"/>
      <c r="U460" s="83"/>
      <c r="V460" s="83"/>
      <c r="W460" s="83"/>
      <c r="X460" s="83"/>
      <c r="Y460" s="83"/>
      <c r="Z460" s="83"/>
    </row>
    <row r="461">
      <c r="T461" s="83"/>
      <c r="U461" s="83"/>
      <c r="V461" s="83"/>
      <c r="W461" s="83"/>
      <c r="X461" s="83"/>
      <c r="Y461" s="83"/>
      <c r="Z461" s="83"/>
    </row>
    <row r="462">
      <c r="T462" s="83"/>
      <c r="U462" s="83"/>
      <c r="V462" s="83"/>
      <c r="W462" s="83"/>
      <c r="X462" s="83"/>
      <c r="Y462" s="83"/>
      <c r="Z462" s="83"/>
    </row>
    <row r="463">
      <c r="T463" s="83"/>
      <c r="U463" s="83"/>
      <c r="V463" s="83"/>
      <c r="W463" s="83"/>
      <c r="X463" s="83"/>
      <c r="Y463" s="83"/>
      <c r="Z463" s="83"/>
    </row>
    <row r="464">
      <c r="T464" s="83"/>
      <c r="U464" s="83"/>
      <c r="V464" s="83"/>
      <c r="W464" s="83"/>
      <c r="X464" s="83"/>
      <c r="Y464" s="83"/>
      <c r="Z464" s="83"/>
    </row>
    <row r="465">
      <c r="T465" s="83"/>
      <c r="U465" s="83"/>
      <c r="V465" s="83"/>
      <c r="W465" s="83"/>
      <c r="X465" s="83"/>
      <c r="Y465" s="83"/>
      <c r="Z465" s="83"/>
    </row>
    <row r="466">
      <c r="T466" s="83"/>
      <c r="U466" s="83"/>
      <c r="V466" s="83"/>
      <c r="W466" s="83"/>
      <c r="X466" s="83"/>
      <c r="Y466" s="83"/>
      <c r="Z466" s="83"/>
    </row>
    <row r="467">
      <c r="T467" s="83"/>
      <c r="U467" s="83"/>
      <c r="V467" s="83"/>
      <c r="W467" s="83"/>
      <c r="X467" s="83"/>
      <c r="Y467" s="83"/>
      <c r="Z467" s="83"/>
    </row>
    <row r="468">
      <c r="T468" s="83"/>
      <c r="U468" s="83"/>
      <c r="V468" s="83"/>
      <c r="W468" s="83"/>
      <c r="X468" s="83"/>
      <c r="Y468" s="83"/>
      <c r="Z468" s="83"/>
    </row>
    <row r="469">
      <c r="T469" s="83"/>
      <c r="U469" s="83"/>
      <c r="V469" s="83"/>
      <c r="W469" s="83"/>
      <c r="X469" s="83"/>
      <c r="Y469" s="83"/>
      <c r="Z469" s="83"/>
    </row>
    <row r="470">
      <c r="T470" s="83"/>
      <c r="U470" s="83"/>
      <c r="V470" s="83"/>
      <c r="W470" s="83"/>
      <c r="X470" s="83"/>
      <c r="Y470" s="83"/>
      <c r="Z470" s="83"/>
    </row>
    <row r="471">
      <c r="T471" s="83"/>
      <c r="U471" s="83"/>
      <c r="V471" s="83"/>
      <c r="W471" s="83"/>
      <c r="X471" s="83"/>
      <c r="Y471" s="83"/>
      <c r="Z471" s="83"/>
    </row>
    <row r="472">
      <c r="T472" s="83"/>
      <c r="U472" s="83"/>
      <c r="V472" s="83"/>
      <c r="W472" s="83"/>
      <c r="X472" s="83"/>
      <c r="Y472" s="83"/>
      <c r="Z472" s="83"/>
    </row>
    <row r="473">
      <c r="T473" s="83"/>
      <c r="U473" s="83"/>
      <c r="V473" s="83"/>
      <c r="W473" s="83"/>
      <c r="X473" s="83"/>
      <c r="Y473" s="83"/>
      <c r="Z473" s="83"/>
    </row>
    <row r="474">
      <c r="T474" s="83"/>
      <c r="U474" s="83"/>
      <c r="V474" s="83"/>
      <c r="W474" s="83"/>
      <c r="X474" s="83"/>
      <c r="Y474" s="83"/>
      <c r="Z474" s="83"/>
    </row>
    <row r="475">
      <c r="T475" s="83"/>
      <c r="U475" s="83"/>
      <c r="V475" s="83"/>
      <c r="W475" s="83"/>
      <c r="X475" s="83"/>
      <c r="Y475" s="83"/>
      <c r="Z475" s="83"/>
    </row>
    <row r="476">
      <c r="T476" s="83"/>
      <c r="U476" s="83"/>
      <c r="V476" s="83"/>
      <c r="W476" s="83"/>
      <c r="X476" s="83"/>
      <c r="Y476" s="83"/>
      <c r="Z476" s="83"/>
    </row>
    <row r="477">
      <c r="T477" s="83"/>
      <c r="U477" s="83"/>
      <c r="V477" s="83"/>
      <c r="W477" s="83"/>
      <c r="X477" s="83"/>
      <c r="Y477" s="83"/>
      <c r="Z477" s="83"/>
    </row>
    <row r="478">
      <c r="T478" s="83"/>
      <c r="U478" s="83"/>
      <c r="V478" s="83"/>
      <c r="W478" s="83"/>
      <c r="X478" s="83"/>
      <c r="Y478" s="83"/>
      <c r="Z478" s="83"/>
    </row>
    <row r="479">
      <c r="T479" s="83"/>
      <c r="U479" s="83"/>
      <c r="V479" s="83"/>
      <c r="W479" s="83"/>
      <c r="X479" s="83"/>
      <c r="Y479" s="83"/>
      <c r="Z479" s="83"/>
    </row>
    <row r="480">
      <c r="T480" s="83"/>
      <c r="U480" s="83"/>
      <c r="V480" s="83"/>
      <c r="W480" s="83"/>
      <c r="X480" s="83"/>
      <c r="Y480" s="83"/>
      <c r="Z480" s="83"/>
    </row>
    <row r="481">
      <c r="T481" s="83"/>
      <c r="U481" s="83"/>
      <c r="V481" s="83"/>
      <c r="W481" s="83"/>
      <c r="X481" s="83"/>
      <c r="Y481" s="83"/>
      <c r="Z481" s="83"/>
    </row>
    <row r="482">
      <c r="T482" s="83"/>
      <c r="U482" s="83"/>
      <c r="V482" s="83"/>
      <c r="W482" s="83"/>
      <c r="X482" s="83"/>
      <c r="Y482" s="83"/>
      <c r="Z482" s="83"/>
    </row>
    <row r="483">
      <c r="T483" s="83"/>
      <c r="U483" s="83"/>
      <c r="V483" s="83"/>
      <c r="W483" s="83"/>
      <c r="X483" s="83"/>
      <c r="Y483" s="83"/>
      <c r="Z483" s="83"/>
    </row>
    <row r="484">
      <c r="T484" s="83"/>
      <c r="U484" s="83"/>
      <c r="V484" s="83"/>
      <c r="W484" s="83"/>
      <c r="X484" s="83"/>
      <c r="Y484" s="83"/>
      <c r="Z484" s="83"/>
    </row>
    <row r="485">
      <c r="T485" s="83"/>
      <c r="U485" s="83"/>
      <c r="V485" s="83"/>
      <c r="W485" s="83"/>
      <c r="X485" s="83"/>
      <c r="Y485" s="83"/>
      <c r="Z485" s="83"/>
    </row>
    <row r="486">
      <c r="T486" s="83"/>
      <c r="U486" s="83"/>
      <c r="V486" s="83"/>
      <c r="W486" s="83"/>
      <c r="X486" s="83"/>
      <c r="Y486" s="83"/>
      <c r="Z486" s="83"/>
    </row>
    <row r="487">
      <c r="T487" s="83"/>
      <c r="U487" s="83"/>
      <c r="V487" s="83"/>
      <c r="W487" s="83"/>
      <c r="X487" s="83"/>
      <c r="Y487" s="83"/>
      <c r="Z487" s="83"/>
    </row>
    <row r="488">
      <c r="T488" s="83"/>
      <c r="U488" s="83"/>
      <c r="V488" s="83"/>
      <c r="W488" s="83"/>
      <c r="X488" s="83"/>
      <c r="Y488" s="83"/>
      <c r="Z488" s="83"/>
    </row>
    <row r="489">
      <c r="T489" s="83"/>
      <c r="U489" s="83"/>
      <c r="V489" s="83"/>
      <c r="W489" s="83"/>
      <c r="X489" s="83"/>
      <c r="Y489" s="83"/>
      <c r="Z489" s="83"/>
    </row>
    <row r="490">
      <c r="T490" s="83"/>
      <c r="U490" s="83"/>
      <c r="V490" s="83"/>
      <c r="W490" s="83"/>
      <c r="X490" s="83"/>
      <c r="Y490" s="83"/>
      <c r="Z490" s="83"/>
    </row>
    <row r="491">
      <c r="T491" s="83"/>
      <c r="U491" s="83"/>
      <c r="V491" s="83"/>
      <c r="W491" s="83"/>
      <c r="X491" s="83"/>
      <c r="Y491" s="83"/>
      <c r="Z491" s="83"/>
    </row>
    <row r="492">
      <c r="T492" s="83"/>
      <c r="U492" s="83"/>
      <c r="V492" s="83"/>
      <c r="W492" s="83"/>
      <c r="X492" s="83"/>
      <c r="Y492" s="83"/>
      <c r="Z492" s="83"/>
    </row>
    <row r="493">
      <c r="T493" s="83"/>
      <c r="U493" s="83"/>
      <c r="V493" s="83"/>
      <c r="W493" s="83"/>
      <c r="X493" s="83"/>
      <c r="Y493" s="83"/>
      <c r="Z493" s="83"/>
    </row>
    <row r="494">
      <c r="T494" s="83"/>
      <c r="U494" s="83"/>
      <c r="V494" s="83"/>
      <c r="W494" s="83"/>
      <c r="X494" s="83"/>
      <c r="Y494" s="83"/>
      <c r="Z494" s="83"/>
    </row>
    <row r="495">
      <c r="T495" s="83"/>
      <c r="U495" s="83"/>
      <c r="V495" s="83"/>
      <c r="W495" s="83"/>
      <c r="X495" s="83"/>
      <c r="Y495" s="83"/>
      <c r="Z495" s="83"/>
    </row>
    <row r="496">
      <c r="T496" s="83"/>
      <c r="U496" s="83"/>
      <c r="V496" s="83"/>
      <c r="W496" s="83"/>
      <c r="X496" s="83"/>
      <c r="Y496" s="83"/>
      <c r="Z496" s="83"/>
    </row>
    <row r="497">
      <c r="T497" s="83"/>
      <c r="U497" s="83"/>
      <c r="V497" s="83"/>
      <c r="W497" s="83"/>
      <c r="X497" s="83"/>
      <c r="Y497" s="83"/>
      <c r="Z497" s="83"/>
    </row>
    <row r="498">
      <c r="T498" s="83"/>
      <c r="U498" s="83"/>
      <c r="V498" s="83"/>
      <c r="W498" s="83"/>
      <c r="X498" s="83"/>
      <c r="Y498" s="83"/>
      <c r="Z498" s="83"/>
    </row>
    <row r="499">
      <c r="T499" s="83"/>
      <c r="U499" s="83"/>
      <c r="V499" s="83"/>
      <c r="W499" s="83"/>
      <c r="X499" s="83"/>
      <c r="Y499" s="83"/>
      <c r="Z499" s="83"/>
    </row>
    <row r="500">
      <c r="T500" s="83"/>
      <c r="U500" s="83"/>
      <c r="V500" s="83"/>
      <c r="W500" s="83"/>
      <c r="X500" s="83"/>
      <c r="Y500" s="83"/>
      <c r="Z500" s="83"/>
    </row>
    <row r="501">
      <c r="T501" s="83"/>
      <c r="U501" s="83"/>
      <c r="V501" s="83"/>
      <c r="W501" s="83"/>
      <c r="X501" s="83"/>
      <c r="Y501" s="83"/>
      <c r="Z501" s="83"/>
    </row>
    <row r="502">
      <c r="T502" s="83"/>
      <c r="U502" s="83"/>
      <c r="V502" s="83"/>
      <c r="W502" s="83"/>
      <c r="X502" s="83"/>
      <c r="Y502" s="83"/>
      <c r="Z502" s="83"/>
    </row>
    <row r="503">
      <c r="T503" s="83"/>
      <c r="U503" s="83"/>
      <c r="V503" s="83"/>
      <c r="W503" s="83"/>
      <c r="X503" s="83"/>
      <c r="Y503" s="83"/>
      <c r="Z503" s="83"/>
    </row>
    <row r="504">
      <c r="T504" s="83"/>
      <c r="U504" s="83"/>
      <c r="V504" s="83"/>
      <c r="W504" s="83"/>
      <c r="X504" s="83"/>
      <c r="Y504" s="83"/>
      <c r="Z504" s="83"/>
    </row>
    <row r="505">
      <c r="T505" s="83"/>
      <c r="U505" s="83"/>
      <c r="V505" s="83"/>
      <c r="W505" s="83"/>
      <c r="X505" s="83"/>
      <c r="Y505" s="83"/>
      <c r="Z505" s="83"/>
    </row>
    <row r="506">
      <c r="T506" s="83"/>
      <c r="U506" s="83"/>
      <c r="V506" s="83"/>
      <c r="W506" s="83"/>
      <c r="X506" s="83"/>
      <c r="Y506" s="83"/>
      <c r="Z506" s="83"/>
    </row>
    <row r="507">
      <c r="T507" s="83"/>
      <c r="U507" s="83"/>
      <c r="V507" s="83"/>
      <c r="W507" s="83"/>
      <c r="X507" s="83"/>
      <c r="Y507" s="83"/>
      <c r="Z507" s="83"/>
    </row>
    <row r="508">
      <c r="T508" s="83"/>
      <c r="U508" s="83"/>
      <c r="V508" s="83"/>
      <c r="W508" s="83"/>
      <c r="X508" s="83"/>
      <c r="Y508" s="83"/>
      <c r="Z508" s="83"/>
    </row>
    <row r="509">
      <c r="T509" s="83"/>
      <c r="U509" s="83"/>
      <c r="V509" s="83"/>
      <c r="W509" s="83"/>
      <c r="X509" s="83"/>
      <c r="Y509" s="83"/>
      <c r="Z509" s="83"/>
    </row>
    <row r="510">
      <c r="T510" s="83"/>
      <c r="U510" s="83"/>
      <c r="V510" s="83"/>
      <c r="W510" s="83"/>
      <c r="X510" s="83"/>
      <c r="Y510" s="83"/>
      <c r="Z510" s="83"/>
    </row>
    <row r="511">
      <c r="T511" s="83"/>
      <c r="U511" s="83"/>
      <c r="V511" s="83"/>
      <c r="W511" s="83"/>
      <c r="X511" s="83"/>
      <c r="Y511" s="83"/>
      <c r="Z511" s="83"/>
    </row>
    <row r="512">
      <c r="T512" s="83"/>
      <c r="U512" s="83"/>
      <c r="V512" s="83"/>
      <c r="W512" s="83"/>
      <c r="X512" s="83"/>
      <c r="Y512" s="83"/>
      <c r="Z512" s="83"/>
    </row>
    <row r="513">
      <c r="T513" s="83"/>
      <c r="U513" s="83"/>
      <c r="V513" s="83"/>
      <c r="W513" s="83"/>
      <c r="X513" s="83"/>
      <c r="Y513" s="83"/>
      <c r="Z513" s="83"/>
    </row>
    <row r="514">
      <c r="T514" s="83"/>
      <c r="U514" s="83"/>
      <c r="V514" s="83"/>
      <c r="W514" s="83"/>
      <c r="X514" s="83"/>
      <c r="Y514" s="83"/>
      <c r="Z514" s="83"/>
    </row>
    <row r="515">
      <c r="T515" s="83"/>
      <c r="U515" s="83"/>
      <c r="V515" s="83"/>
      <c r="W515" s="83"/>
      <c r="X515" s="83"/>
      <c r="Y515" s="83"/>
      <c r="Z515" s="83"/>
    </row>
    <row r="516">
      <c r="T516" s="83"/>
      <c r="U516" s="83"/>
      <c r="V516" s="83"/>
      <c r="W516" s="83"/>
      <c r="X516" s="83"/>
      <c r="Y516" s="83"/>
      <c r="Z516" s="83"/>
    </row>
    <row r="517">
      <c r="T517" s="83"/>
      <c r="U517" s="83"/>
      <c r="V517" s="83"/>
      <c r="W517" s="83"/>
      <c r="X517" s="83"/>
      <c r="Y517" s="83"/>
      <c r="Z517" s="83"/>
    </row>
    <row r="518">
      <c r="T518" s="83"/>
      <c r="U518" s="83"/>
      <c r="V518" s="83"/>
      <c r="W518" s="83"/>
      <c r="X518" s="83"/>
      <c r="Y518" s="83"/>
      <c r="Z518" s="83"/>
    </row>
    <row r="519">
      <c r="T519" s="83"/>
      <c r="U519" s="83"/>
      <c r="V519" s="83"/>
      <c r="W519" s="83"/>
      <c r="X519" s="83"/>
      <c r="Y519" s="83"/>
      <c r="Z519" s="83"/>
    </row>
    <row r="520">
      <c r="T520" s="83"/>
      <c r="U520" s="83"/>
      <c r="V520" s="83"/>
      <c r="W520" s="83"/>
      <c r="X520" s="83"/>
      <c r="Y520" s="83"/>
      <c r="Z520" s="83"/>
    </row>
    <row r="521">
      <c r="T521" s="83"/>
      <c r="U521" s="83"/>
      <c r="V521" s="83"/>
      <c r="W521" s="83"/>
      <c r="X521" s="83"/>
      <c r="Y521" s="83"/>
      <c r="Z521" s="83"/>
    </row>
    <row r="522">
      <c r="T522" s="83"/>
      <c r="U522" s="83"/>
      <c r="V522" s="83"/>
      <c r="W522" s="83"/>
      <c r="X522" s="83"/>
      <c r="Y522" s="83"/>
      <c r="Z522" s="83"/>
    </row>
    <row r="523">
      <c r="T523" s="83"/>
      <c r="U523" s="83"/>
      <c r="V523" s="83"/>
      <c r="W523" s="83"/>
      <c r="X523" s="83"/>
      <c r="Y523" s="83"/>
      <c r="Z523" s="83"/>
    </row>
    <row r="524">
      <c r="T524" s="83"/>
      <c r="U524" s="83"/>
      <c r="V524" s="83"/>
      <c r="W524" s="83"/>
      <c r="X524" s="83"/>
      <c r="Y524" s="83"/>
      <c r="Z524" s="83"/>
    </row>
    <row r="525">
      <c r="T525" s="83"/>
      <c r="U525" s="83"/>
      <c r="V525" s="83"/>
      <c r="W525" s="83"/>
      <c r="X525" s="83"/>
      <c r="Y525" s="83"/>
      <c r="Z525" s="83"/>
    </row>
    <row r="526">
      <c r="T526" s="83"/>
      <c r="U526" s="83"/>
      <c r="V526" s="83"/>
      <c r="W526" s="83"/>
      <c r="X526" s="83"/>
      <c r="Y526" s="83"/>
      <c r="Z526" s="83"/>
    </row>
    <row r="527">
      <c r="T527" s="83"/>
      <c r="U527" s="83"/>
      <c r="V527" s="83"/>
      <c r="W527" s="83"/>
      <c r="X527" s="83"/>
      <c r="Y527" s="83"/>
      <c r="Z527" s="83"/>
    </row>
    <row r="528">
      <c r="T528" s="83"/>
      <c r="U528" s="83"/>
      <c r="V528" s="83"/>
      <c r="W528" s="83"/>
      <c r="X528" s="83"/>
      <c r="Y528" s="83"/>
      <c r="Z528" s="83"/>
    </row>
    <row r="529">
      <c r="T529" s="83"/>
      <c r="U529" s="83"/>
      <c r="V529" s="83"/>
      <c r="W529" s="83"/>
      <c r="X529" s="83"/>
      <c r="Y529" s="83"/>
      <c r="Z529" s="83"/>
    </row>
    <row r="530">
      <c r="T530" s="83"/>
      <c r="U530" s="83"/>
      <c r="V530" s="83"/>
      <c r="W530" s="83"/>
      <c r="X530" s="83"/>
      <c r="Y530" s="83"/>
      <c r="Z530" s="83"/>
    </row>
    <row r="531">
      <c r="T531" s="83"/>
      <c r="U531" s="83"/>
      <c r="V531" s="83"/>
      <c r="W531" s="83"/>
      <c r="X531" s="83"/>
      <c r="Y531" s="83"/>
      <c r="Z531" s="83"/>
    </row>
    <row r="532">
      <c r="T532" s="83"/>
      <c r="U532" s="83"/>
      <c r="V532" s="83"/>
      <c r="W532" s="83"/>
      <c r="X532" s="83"/>
      <c r="Y532" s="83"/>
      <c r="Z532" s="83"/>
    </row>
    <row r="533">
      <c r="T533" s="83"/>
      <c r="U533" s="83"/>
      <c r="V533" s="83"/>
      <c r="W533" s="83"/>
      <c r="X533" s="83"/>
      <c r="Y533" s="83"/>
      <c r="Z533" s="83"/>
    </row>
    <row r="534">
      <c r="T534" s="83"/>
      <c r="U534" s="83"/>
      <c r="V534" s="83"/>
      <c r="W534" s="83"/>
      <c r="X534" s="83"/>
      <c r="Y534" s="83"/>
      <c r="Z534" s="83"/>
    </row>
    <row r="535">
      <c r="T535" s="83"/>
      <c r="U535" s="83"/>
      <c r="V535" s="83"/>
      <c r="W535" s="83"/>
      <c r="X535" s="83"/>
      <c r="Y535" s="83"/>
      <c r="Z535" s="83"/>
    </row>
    <row r="536">
      <c r="T536" s="83"/>
      <c r="U536" s="83"/>
      <c r="V536" s="83"/>
      <c r="W536" s="83"/>
      <c r="X536" s="83"/>
      <c r="Y536" s="83"/>
      <c r="Z536" s="83"/>
    </row>
    <row r="537">
      <c r="T537" s="83"/>
      <c r="U537" s="83"/>
      <c r="V537" s="83"/>
      <c r="W537" s="83"/>
      <c r="X537" s="83"/>
      <c r="Y537" s="83"/>
      <c r="Z537" s="83"/>
    </row>
    <row r="538">
      <c r="T538" s="83"/>
      <c r="U538" s="83"/>
      <c r="V538" s="83"/>
      <c r="W538" s="83"/>
      <c r="X538" s="83"/>
      <c r="Y538" s="83"/>
      <c r="Z538" s="83"/>
    </row>
    <row r="539">
      <c r="T539" s="83"/>
      <c r="U539" s="83"/>
      <c r="V539" s="83"/>
      <c r="W539" s="83"/>
      <c r="X539" s="83"/>
      <c r="Y539" s="83"/>
      <c r="Z539" s="83"/>
    </row>
    <row r="540">
      <c r="T540" s="83"/>
      <c r="U540" s="83"/>
      <c r="V540" s="83"/>
      <c r="W540" s="83"/>
      <c r="X540" s="83"/>
      <c r="Y540" s="83"/>
      <c r="Z540" s="83"/>
    </row>
    <row r="541">
      <c r="T541" s="83"/>
      <c r="U541" s="83"/>
      <c r="V541" s="83"/>
      <c r="W541" s="83"/>
      <c r="X541" s="83"/>
      <c r="Y541" s="83"/>
      <c r="Z541" s="83"/>
    </row>
    <row r="542">
      <c r="T542" s="83"/>
      <c r="U542" s="83"/>
      <c r="V542" s="83"/>
      <c r="W542" s="83"/>
      <c r="X542" s="83"/>
      <c r="Y542" s="83"/>
      <c r="Z542" s="83"/>
    </row>
    <row r="543">
      <c r="T543" s="83"/>
      <c r="U543" s="83"/>
      <c r="V543" s="83"/>
      <c r="W543" s="83"/>
      <c r="X543" s="83"/>
      <c r="Y543" s="83"/>
      <c r="Z543" s="83"/>
    </row>
    <row r="544">
      <c r="T544" s="83"/>
      <c r="U544" s="83"/>
      <c r="V544" s="83"/>
      <c r="W544" s="83"/>
      <c r="X544" s="83"/>
      <c r="Y544" s="83"/>
      <c r="Z544" s="83"/>
    </row>
    <row r="545">
      <c r="T545" s="83"/>
      <c r="U545" s="83"/>
      <c r="V545" s="83"/>
      <c r="W545" s="83"/>
      <c r="X545" s="83"/>
      <c r="Y545" s="83"/>
      <c r="Z545" s="83"/>
    </row>
    <row r="546">
      <c r="T546" s="83"/>
      <c r="U546" s="83"/>
      <c r="V546" s="83"/>
      <c r="W546" s="83"/>
      <c r="X546" s="83"/>
      <c r="Y546" s="83"/>
      <c r="Z546" s="83"/>
    </row>
    <row r="547">
      <c r="T547" s="83"/>
      <c r="U547" s="83"/>
      <c r="V547" s="83"/>
      <c r="W547" s="83"/>
      <c r="X547" s="83"/>
      <c r="Y547" s="83"/>
      <c r="Z547" s="83"/>
    </row>
    <row r="548">
      <c r="T548" s="83"/>
      <c r="U548" s="83"/>
      <c r="V548" s="83"/>
      <c r="W548" s="83"/>
      <c r="X548" s="83"/>
      <c r="Y548" s="83"/>
      <c r="Z548" s="83"/>
    </row>
    <row r="549">
      <c r="T549" s="83"/>
      <c r="U549" s="83"/>
      <c r="V549" s="83"/>
      <c r="W549" s="83"/>
      <c r="X549" s="83"/>
      <c r="Y549" s="83"/>
      <c r="Z549" s="83"/>
    </row>
    <row r="550">
      <c r="T550" s="83"/>
      <c r="U550" s="83"/>
      <c r="V550" s="83"/>
      <c r="W550" s="83"/>
      <c r="X550" s="83"/>
      <c r="Y550" s="83"/>
      <c r="Z550" s="83"/>
    </row>
    <row r="551">
      <c r="T551" s="83"/>
      <c r="U551" s="83"/>
      <c r="V551" s="83"/>
      <c r="W551" s="83"/>
      <c r="X551" s="83"/>
      <c r="Y551" s="83"/>
      <c r="Z551" s="83"/>
    </row>
    <row r="552">
      <c r="T552" s="83"/>
      <c r="U552" s="83"/>
      <c r="V552" s="83"/>
      <c r="W552" s="83"/>
      <c r="X552" s="83"/>
      <c r="Y552" s="83"/>
      <c r="Z552" s="83"/>
    </row>
    <row r="553">
      <c r="T553" s="83"/>
      <c r="U553" s="83"/>
      <c r="V553" s="83"/>
      <c r="W553" s="83"/>
      <c r="X553" s="83"/>
      <c r="Y553" s="83"/>
      <c r="Z553" s="83"/>
    </row>
    <row r="554">
      <c r="T554" s="83"/>
      <c r="U554" s="83"/>
      <c r="V554" s="83"/>
      <c r="W554" s="83"/>
      <c r="X554" s="83"/>
      <c r="Y554" s="83"/>
      <c r="Z554" s="83"/>
    </row>
    <row r="555">
      <c r="T555" s="83"/>
      <c r="U555" s="83"/>
      <c r="V555" s="83"/>
      <c r="W555" s="83"/>
      <c r="X555" s="83"/>
      <c r="Y555" s="83"/>
      <c r="Z555" s="83"/>
    </row>
    <row r="556">
      <c r="T556" s="83"/>
      <c r="U556" s="83"/>
      <c r="V556" s="83"/>
      <c r="W556" s="83"/>
      <c r="X556" s="83"/>
      <c r="Y556" s="83"/>
      <c r="Z556" s="83"/>
    </row>
    <row r="557">
      <c r="T557" s="83"/>
      <c r="U557" s="83"/>
      <c r="V557" s="83"/>
      <c r="W557" s="83"/>
      <c r="X557" s="83"/>
      <c r="Y557" s="83"/>
      <c r="Z557" s="83"/>
    </row>
    <row r="558">
      <c r="T558" s="83"/>
      <c r="U558" s="83"/>
      <c r="V558" s="83"/>
      <c r="W558" s="83"/>
      <c r="X558" s="83"/>
      <c r="Y558" s="83"/>
      <c r="Z558" s="83"/>
    </row>
    <row r="559">
      <c r="T559" s="83"/>
      <c r="U559" s="83"/>
      <c r="V559" s="83"/>
      <c r="W559" s="83"/>
      <c r="X559" s="83"/>
      <c r="Y559" s="83"/>
      <c r="Z559" s="83"/>
    </row>
    <row r="560">
      <c r="T560" s="83"/>
      <c r="U560" s="83"/>
      <c r="V560" s="83"/>
      <c r="W560" s="83"/>
      <c r="X560" s="83"/>
      <c r="Y560" s="83"/>
      <c r="Z560" s="83"/>
    </row>
    <row r="561">
      <c r="T561" s="83"/>
      <c r="U561" s="83"/>
      <c r="V561" s="83"/>
      <c r="W561" s="83"/>
      <c r="X561" s="83"/>
      <c r="Y561" s="83"/>
      <c r="Z561" s="83"/>
    </row>
    <row r="562">
      <c r="T562" s="83"/>
      <c r="U562" s="83"/>
      <c r="V562" s="83"/>
      <c r="W562" s="83"/>
      <c r="X562" s="83"/>
      <c r="Y562" s="83"/>
      <c r="Z562" s="83"/>
    </row>
    <row r="563">
      <c r="T563" s="83"/>
      <c r="U563" s="83"/>
      <c r="V563" s="83"/>
      <c r="W563" s="83"/>
      <c r="X563" s="83"/>
      <c r="Y563" s="83"/>
      <c r="Z563" s="83"/>
    </row>
    <row r="564">
      <c r="T564" s="83"/>
      <c r="U564" s="83"/>
      <c r="V564" s="83"/>
      <c r="W564" s="83"/>
      <c r="X564" s="83"/>
      <c r="Y564" s="83"/>
      <c r="Z564" s="83"/>
    </row>
    <row r="565">
      <c r="T565" s="83"/>
      <c r="U565" s="83"/>
      <c r="V565" s="83"/>
      <c r="W565" s="83"/>
      <c r="X565" s="83"/>
      <c r="Y565" s="83"/>
      <c r="Z565" s="83"/>
    </row>
    <row r="566">
      <c r="T566" s="83"/>
      <c r="U566" s="83"/>
      <c r="V566" s="83"/>
      <c r="W566" s="83"/>
      <c r="X566" s="83"/>
      <c r="Y566" s="83"/>
      <c r="Z566" s="83"/>
    </row>
    <row r="567">
      <c r="T567" s="83"/>
      <c r="U567" s="83"/>
      <c r="V567" s="83"/>
      <c r="W567" s="83"/>
      <c r="X567" s="83"/>
      <c r="Y567" s="83"/>
      <c r="Z567" s="83"/>
    </row>
    <row r="568">
      <c r="T568" s="83"/>
      <c r="U568" s="83"/>
      <c r="V568" s="83"/>
      <c r="W568" s="83"/>
      <c r="X568" s="83"/>
      <c r="Y568" s="83"/>
      <c r="Z568" s="83"/>
    </row>
    <row r="569">
      <c r="T569" s="83"/>
      <c r="U569" s="83"/>
      <c r="V569" s="83"/>
      <c r="W569" s="83"/>
      <c r="X569" s="83"/>
      <c r="Y569" s="83"/>
      <c r="Z569" s="83"/>
    </row>
    <row r="570">
      <c r="T570" s="83"/>
      <c r="U570" s="83"/>
      <c r="V570" s="83"/>
      <c r="W570" s="83"/>
      <c r="X570" s="83"/>
      <c r="Y570" s="83"/>
      <c r="Z570" s="83"/>
    </row>
    <row r="571">
      <c r="T571" s="83"/>
      <c r="U571" s="83"/>
      <c r="V571" s="83"/>
      <c r="W571" s="83"/>
      <c r="X571" s="83"/>
      <c r="Y571" s="83"/>
      <c r="Z571" s="83"/>
    </row>
    <row r="572">
      <c r="T572" s="83"/>
      <c r="U572" s="83"/>
      <c r="V572" s="83"/>
      <c r="W572" s="83"/>
      <c r="X572" s="83"/>
      <c r="Y572" s="83"/>
      <c r="Z572" s="83"/>
    </row>
    <row r="573">
      <c r="T573" s="83"/>
      <c r="U573" s="83"/>
      <c r="V573" s="83"/>
      <c r="W573" s="83"/>
      <c r="X573" s="83"/>
      <c r="Y573" s="83"/>
      <c r="Z573" s="83"/>
    </row>
    <row r="574">
      <c r="T574" s="83"/>
      <c r="U574" s="83"/>
      <c r="V574" s="83"/>
      <c r="W574" s="83"/>
      <c r="X574" s="83"/>
      <c r="Y574" s="83"/>
      <c r="Z574" s="83"/>
    </row>
    <row r="575">
      <c r="T575" s="83"/>
      <c r="U575" s="83"/>
      <c r="V575" s="83"/>
      <c r="W575" s="83"/>
      <c r="X575" s="83"/>
      <c r="Y575" s="83"/>
      <c r="Z575" s="83"/>
    </row>
    <row r="576">
      <c r="T576" s="83"/>
      <c r="U576" s="83"/>
      <c r="V576" s="83"/>
      <c r="W576" s="83"/>
      <c r="X576" s="83"/>
      <c r="Y576" s="83"/>
      <c r="Z576" s="83"/>
    </row>
    <row r="577">
      <c r="T577" s="83"/>
      <c r="U577" s="83"/>
      <c r="V577" s="83"/>
      <c r="W577" s="83"/>
      <c r="X577" s="83"/>
      <c r="Y577" s="83"/>
      <c r="Z577" s="83"/>
    </row>
    <row r="578">
      <c r="T578" s="83"/>
      <c r="U578" s="83"/>
      <c r="V578" s="83"/>
      <c r="W578" s="83"/>
      <c r="X578" s="83"/>
      <c r="Y578" s="83"/>
      <c r="Z578" s="83"/>
    </row>
    <row r="579">
      <c r="T579" s="83"/>
      <c r="U579" s="83"/>
      <c r="V579" s="83"/>
      <c r="W579" s="83"/>
      <c r="X579" s="83"/>
      <c r="Y579" s="83"/>
      <c r="Z579" s="83"/>
    </row>
    <row r="580">
      <c r="T580" s="83"/>
      <c r="U580" s="83"/>
      <c r="V580" s="83"/>
      <c r="W580" s="83"/>
      <c r="X580" s="83"/>
      <c r="Y580" s="83"/>
      <c r="Z580" s="83"/>
    </row>
    <row r="581">
      <c r="T581" s="83"/>
      <c r="U581" s="83"/>
      <c r="V581" s="83"/>
      <c r="W581" s="83"/>
      <c r="X581" s="83"/>
      <c r="Y581" s="83"/>
      <c r="Z581" s="83"/>
    </row>
    <row r="582">
      <c r="T582" s="83"/>
      <c r="U582" s="83"/>
      <c r="V582" s="83"/>
      <c r="W582" s="83"/>
      <c r="X582" s="83"/>
      <c r="Y582" s="83"/>
      <c r="Z582" s="83"/>
    </row>
    <row r="583">
      <c r="T583" s="83"/>
      <c r="U583" s="83"/>
      <c r="V583" s="83"/>
      <c r="W583" s="83"/>
      <c r="X583" s="83"/>
      <c r="Y583" s="83"/>
      <c r="Z583" s="83"/>
    </row>
    <row r="584">
      <c r="T584" s="83"/>
      <c r="U584" s="83"/>
      <c r="V584" s="83"/>
      <c r="W584" s="83"/>
      <c r="X584" s="83"/>
      <c r="Y584" s="83"/>
      <c r="Z584" s="83"/>
    </row>
    <row r="585">
      <c r="T585" s="83"/>
      <c r="U585" s="83"/>
      <c r="V585" s="83"/>
      <c r="W585" s="83"/>
      <c r="X585" s="83"/>
      <c r="Y585" s="83"/>
      <c r="Z585" s="83"/>
    </row>
    <row r="586">
      <c r="T586" s="83"/>
      <c r="U586" s="83"/>
      <c r="V586" s="83"/>
      <c r="W586" s="83"/>
      <c r="X586" s="83"/>
      <c r="Y586" s="83"/>
      <c r="Z586" s="83"/>
    </row>
    <row r="587">
      <c r="T587" s="83"/>
      <c r="U587" s="83"/>
      <c r="V587" s="83"/>
      <c r="W587" s="83"/>
      <c r="X587" s="83"/>
      <c r="Y587" s="83"/>
      <c r="Z587" s="83"/>
    </row>
    <row r="588">
      <c r="T588" s="83"/>
      <c r="U588" s="83"/>
      <c r="V588" s="83"/>
      <c r="W588" s="83"/>
      <c r="X588" s="83"/>
      <c r="Y588" s="83"/>
      <c r="Z588" s="83"/>
    </row>
    <row r="589">
      <c r="T589" s="83"/>
      <c r="U589" s="83"/>
      <c r="V589" s="83"/>
      <c r="W589" s="83"/>
      <c r="X589" s="83"/>
      <c r="Y589" s="83"/>
      <c r="Z589" s="83"/>
    </row>
    <row r="590">
      <c r="T590" s="83"/>
      <c r="U590" s="83"/>
      <c r="V590" s="83"/>
      <c r="W590" s="83"/>
      <c r="X590" s="83"/>
      <c r="Y590" s="83"/>
      <c r="Z590" s="83"/>
    </row>
    <row r="591">
      <c r="T591" s="83"/>
      <c r="U591" s="83"/>
      <c r="V591" s="83"/>
      <c r="W591" s="83"/>
      <c r="X591" s="83"/>
      <c r="Y591" s="83"/>
      <c r="Z591" s="83"/>
    </row>
    <row r="592">
      <c r="T592" s="83"/>
      <c r="U592" s="83"/>
      <c r="V592" s="83"/>
      <c r="W592" s="83"/>
      <c r="X592" s="83"/>
      <c r="Y592" s="83"/>
      <c r="Z592" s="83"/>
    </row>
    <row r="593">
      <c r="T593" s="83"/>
      <c r="U593" s="83"/>
      <c r="V593" s="83"/>
      <c r="W593" s="83"/>
      <c r="X593" s="83"/>
      <c r="Y593" s="83"/>
      <c r="Z593" s="83"/>
    </row>
    <row r="594">
      <c r="T594" s="83"/>
      <c r="U594" s="83"/>
      <c r="V594" s="83"/>
      <c r="W594" s="83"/>
      <c r="X594" s="83"/>
      <c r="Y594" s="83"/>
      <c r="Z594" s="83"/>
    </row>
    <row r="595">
      <c r="T595" s="83"/>
      <c r="U595" s="83"/>
      <c r="V595" s="83"/>
      <c r="W595" s="83"/>
      <c r="X595" s="83"/>
      <c r="Y595" s="83"/>
      <c r="Z595" s="83"/>
    </row>
    <row r="596">
      <c r="T596" s="83"/>
      <c r="U596" s="83"/>
      <c r="V596" s="83"/>
      <c r="W596" s="83"/>
      <c r="X596" s="83"/>
      <c r="Y596" s="83"/>
      <c r="Z596" s="83"/>
    </row>
    <row r="597">
      <c r="T597" s="83"/>
      <c r="U597" s="83"/>
      <c r="V597" s="83"/>
      <c r="W597" s="83"/>
      <c r="X597" s="83"/>
      <c r="Y597" s="83"/>
      <c r="Z597" s="83"/>
    </row>
    <row r="598">
      <c r="T598" s="83"/>
      <c r="U598" s="83"/>
      <c r="V598" s="83"/>
      <c r="W598" s="83"/>
      <c r="X598" s="83"/>
      <c r="Y598" s="83"/>
      <c r="Z598" s="83"/>
    </row>
    <row r="599">
      <c r="T599" s="83"/>
      <c r="U599" s="83"/>
      <c r="V599" s="83"/>
      <c r="W599" s="83"/>
      <c r="X599" s="83"/>
      <c r="Y599" s="83"/>
      <c r="Z599" s="83"/>
    </row>
    <row r="600">
      <c r="T600" s="83"/>
      <c r="U600" s="83"/>
      <c r="V600" s="83"/>
      <c r="W600" s="83"/>
      <c r="X600" s="83"/>
      <c r="Y600" s="83"/>
      <c r="Z600" s="83"/>
    </row>
    <row r="601">
      <c r="T601" s="83"/>
      <c r="U601" s="83"/>
      <c r="V601" s="83"/>
      <c r="W601" s="83"/>
      <c r="X601" s="83"/>
      <c r="Y601" s="83"/>
      <c r="Z601" s="83"/>
    </row>
    <row r="602">
      <c r="T602" s="83"/>
      <c r="U602" s="83"/>
      <c r="V602" s="83"/>
      <c r="W602" s="83"/>
      <c r="X602" s="83"/>
      <c r="Y602" s="83"/>
      <c r="Z602" s="83"/>
    </row>
    <row r="603">
      <c r="T603" s="83"/>
      <c r="U603" s="83"/>
      <c r="V603" s="83"/>
      <c r="W603" s="83"/>
      <c r="X603" s="83"/>
      <c r="Y603" s="83"/>
      <c r="Z603" s="83"/>
    </row>
    <row r="604">
      <c r="T604" s="83"/>
      <c r="U604" s="83"/>
      <c r="V604" s="83"/>
      <c r="W604" s="83"/>
      <c r="X604" s="83"/>
      <c r="Y604" s="83"/>
      <c r="Z604" s="83"/>
    </row>
    <row r="605">
      <c r="T605" s="83"/>
      <c r="U605" s="83"/>
      <c r="V605" s="83"/>
      <c r="W605" s="83"/>
      <c r="X605" s="83"/>
      <c r="Y605" s="83"/>
      <c r="Z605" s="83"/>
    </row>
    <row r="606">
      <c r="T606" s="83"/>
      <c r="U606" s="83"/>
      <c r="V606" s="83"/>
      <c r="W606" s="83"/>
      <c r="X606" s="83"/>
      <c r="Y606" s="83"/>
      <c r="Z606" s="83"/>
    </row>
    <row r="607">
      <c r="T607" s="83"/>
      <c r="U607" s="83"/>
      <c r="V607" s="83"/>
      <c r="W607" s="83"/>
      <c r="X607" s="83"/>
      <c r="Y607" s="83"/>
      <c r="Z607" s="83"/>
    </row>
    <row r="608">
      <c r="T608" s="83"/>
      <c r="U608" s="83"/>
      <c r="V608" s="83"/>
      <c r="W608" s="83"/>
      <c r="X608" s="83"/>
      <c r="Y608" s="83"/>
      <c r="Z608" s="83"/>
    </row>
    <row r="609">
      <c r="T609" s="83"/>
      <c r="U609" s="83"/>
      <c r="V609" s="83"/>
      <c r="W609" s="83"/>
      <c r="X609" s="83"/>
      <c r="Y609" s="83"/>
      <c r="Z609" s="83"/>
    </row>
    <row r="610">
      <c r="T610" s="83"/>
      <c r="U610" s="83"/>
      <c r="V610" s="83"/>
      <c r="W610" s="83"/>
      <c r="X610" s="83"/>
      <c r="Y610" s="83"/>
      <c r="Z610" s="83"/>
    </row>
    <row r="611">
      <c r="T611" s="83"/>
      <c r="U611" s="83"/>
      <c r="V611" s="83"/>
      <c r="W611" s="83"/>
      <c r="X611" s="83"/>
      <c r="Y611" s="83"/>
      <c r="Z611" s="83"/>
    </row>
    <row r="612">
      <c r="T612" s="83"/>
      <c r="U612" s="83"/>
      <c r="V612" s="83"/>
      <c r="W612" s="83"/>
      <c r="X612" s="83"/>
      <c r="Y612" s="83"/>
      <c r="Z612" s="83"/>
    </row>
    <row r="613">
      <c r="T613" s="83"/>
      <c r="U613" s="83"/>
      <c r="V613" s="83"/>
      <c r="W613" s="83"/>
      <c r="X613" s="83"/>
      <c r="Y613" s="83"/>
      <c r="Z613" s="83"/>
    </row>
    <row r="614">
      <c r="T614" s="83"/>
      <c r="U614" s="83"/>
      <c r="V614" s="83"/>
      <c r="W614" s="83"/>
      <c r="X614" s="83"/>
      <c r="Y614" s="83"/>
      <c r="Z614" s="83"/>
    </row>
    <row r="615">
      <c r="T615" s="83"/>
      <c r="U615" s="83"/>
      <c r="V615" s="83"/>
      <c r="W615" s="83"/>
      <c r="X615" s="83"/>
      <c r="Y615" s="83"/>
      <c r="Z615" s="83"/>
    </row>
    <row r="616">
      <c r="T616" s="83"/>
      <c r="U616" s="83"/>
      <c r="V616" s="83"/>
      <c r="W616" s="83"/>
      <c r="X616" s="83"/>
      <c r="Y616" s="83"/>
      <c r="Z616" s="83"/>
    </row>
    <row r="617">
      <c r="T617" s="83"/>
      <c r="U617" s="83"/>
      <c r="V617" s="83"/>
      <c r="W617" s="83"/>
      <c r="X617" s="83"/>
      <c r="Y617" s="83"/>
      <c r="Z617" s="83"/>
    </row>
    <row r="618">
      <c r="T618" s="83"/>
      <c r="U618" s="83"/>
      <c r="V618" s="83"/>
      <c r="W618" s="83"/>
      <c r="X618" s="83"/>
      <c r="Y618" s="83"/>
      <c r="Z618" s="83"/>
    </row>
    <row r="619">
      <c r="T619" s="83"/>
      <c r="U619" s="83"/>
      <c r="V619" s="83"/>
      <c r="W619" s="83"/>
      <c r="X619" s="83"/>
      <c r="Y619" s="83"/>
      <c r="Z619" s="83"/>
    </row>
    <row r="620">
      <c r="T620" s="83"/>
      <c r="U620" s="83"/>
      <c r="V620" s="83"/>
      <c r="W620" s="83"/>
      <c r="X620" s="83"/>
      <c r="Y620" s="83"/>
      <c r="Z620" s="83"/>
    </row>
    <row r="621">
      <c r="T621" s="83"/>
      <c r="U621" s="83"/>
      <c r="V621" s="83"/>
      <c r="W621" s="83"/>
      <c r="X621" s="83"/>
      <c r="Y621" s="83"/>
      <c r="Z621" s="83"/>
    </row>
    <row r="622">
      <c r="T622" s="83"/>
      <c r="U622" s="83"/>
      <c r="V622" s="83"/>
      <c r="W622" s="83"/>
      <c r="X622" s="83"/>
      <c r="Y622" s="83"/>
      <c r="Z622" s="83"/>
    </row>
    <row r="623">
      <c r="T623" s="83"/>
      <c r="U623" s="83"/>
      <c r="V623" s="83"/>
      <c r="W623" s="83"/>
      <c r="X623" s="83"/>
      <c r="Y623" s="83"/>
      <c r="Z623" s="83"/>
    </row>
    <row r="624">
      <c r="T624" s="83"/>
      <c r="U624" s="83"/>
      <c r="V624" s="83"/>
      <c r="W624" s="83"/>
      <c r="X624" s="83"/>
      <c r="Y624" s="83"/>
      <c r="Z624" s="83"/>
    </row>
    <row r="625">
      <c r="T625" s="83"/>
      <c r="U625" s="83"/>
      <c r="V625" s="83"/>
      <c r="W625" s="83"/>
      <c r="X625" s="83"/>
      <c r="Y625" s="83"/>
      <c r="Z625" s="83"/>
    </row>
    <row r="626">
      <c r="T626" s="83"/>
      <c r="U626" s="83"/>
      <c r="V626" s="83"/>
      <c r="W626" s="83"/>
      <c r="X626" s="83"/>
      <c r="Y626" s="83"/>
      <c r="Z626" s="83"/>
    </row>
    <row r="627">
      <c r="T627" s="83"/>
      <c r="U627" s="83"/>
      <c r="V627" s="83"/>
      <c r="W627" s="83"/>
      <c r="X627" s="83"/>
      <c r="Y627" s="83"/>
      <c r="Z627" s="83"/>
    </row>
    <row r="628">
      <c r="T628" s="83"/>
      <c r="U628" s="83"/>
      <c r="V628" s="83"/>
      <c r="W628" s="83"/>
      <c r="X628" s="83"/>
      <c r="Y628" s="83"/>
      <c r="Z628" s="83"/>
    </row>
    <row r="629">
      <c r="T629" s="83"/>
      <c r="U629" s="83"/>
      <c r="V629" s="83"/>
      <c r="W629" s="83"/>
      <c r="X629" s="83"/>
      <c r="Y629" s="83"/>
      <c r="Z629" s="83"/>
    </row>
    <row r="630">
      <c r="T630" s="83"/>
      <c r="U630" s="83"/>
      <c r="V630" s="83"/>
      <c r="W630" s="83"/>
      <c r="X630" s="83"/>
      <c r="Y630" s="83"/>
      <c r="Z630" s="83"/>
    </row>
    <row r="631">
      <c r="T631" s="83"/>
      <c r="U631" s="83"/>
      <c r="V631" s="83"/>
      <c r="W631" s="83"/>
      <c r="X631" s="83"/>
      <c r="Y631" s="83"/>
      <c r="Z631" s="83"/>
    </row>
    <row r="632">
      <c r="T632" s="83"/>
      <c r="U632" s="83"/>
      <c r="V632" s="83"/>
      <c r="W632" s="83"/>
      <c r="X632" s="83"/>
      <c r="Y632" s="83"/>
      <c r="Z632" s="83"/>
    </row>
    <row r="633">
      <c r="T633" s="83"/>
      <c r="U633" s="83"/>
      <c r="V633" s="83"/>
      <c r="W633" s="83"/>
      <c r="X633" s="83"/>
      <c r="Y633" s="83"/>
      <c r="Z633" s="83"/>
    </row>
    <row r="634">
      <c r="T634" s="83"/>
      <c r="U634" s="83"/>
      <c r="V634" s="83"/>
      <c r="W634" s="83"/>
      <c r="X634" s="83"/>
      <c r="Y634" s="83"/>
      <c r="Z634" s="83"/>
    </row>
    <row r="635">
      <c r="T635" s="83"/>
      <c r="U635" s="83"/>
      <c r="V635" s="83"/>
      <c r="W635" s="83"/>
      <c r="X635" s="83"/>
      <c r="Y635" s="83"/>
      <c r="Z635" s="83"/>
    </row>
    <row r="636">
      <c r="T636" s="83"/>
      <c r="U636" s="83"/>
      <c r="V636" s="83"/>
      <c r="W636" s="83"/>
      <c r="X636" s="83"/>
      <c r="Y636" s="83"/>
      <c r="Z636" s="83"/>
    </row>
    <row r="637">
      <c r="T637" s="83"/>
      <c r="U637" s="83"/>
      <c r="V637" s="83"/>
      <c r="W637" s="83"/>
      <c r="X637" s="83"/>
      <c r="Y637" s="83"/>
      <c r="Z637" s="83"/>
    </row>
    <row r="638">
      <c r="T638" s="83"/>
      <c r="U638" s="83"/>
      <c r="V638" s="83"/>
      <c r="W638" s="83"/>
      <c r="X638" s="83"/>
      <c r="Y638" s="83"/>
      <c r="Z638" s="83"/>
    </row>
    <row r="639">
      <c r="T639" s="83"/>
      <c r="U639" s="83"/>
      <c r="V639" s="83"/>
      <c r="W639" s="83"/>
      <c r="X639" s="83"/>
      <c r="Y639" s="83"/>
      <c r="Z639" s="83"/>
    </row>
    <row r="640">
      <c r="T640" s="83"/>
      <c r="U640" s="83"/>
      <c r="V640" s="83"/>
      <c r="W640" s="83"/>
      <c r="X640" s="83"/>
      <c r="Y640" s="83"/>
      <c r="Z640" s="83"/>
    </row>
    <row r="641">
      <c r="T641" s="83"/>
      <c r="U641" s="83"/>
      <c r="V641" s="83"/>
      <c r="W641" s="83"/>
      <c r="X641" s="83"/>
      <c r="Y641" s="83"/>
      <c r="Z641" s="83"/>
    </row>
    <row r="642">
      <c r="T642" s="83"/>
      <c r="U642" s="83"/>
      <c r="V642" s="83"/>
      <c r="W642" s="83"/>
      <c r="X642" s="83"/>
      <c r="Y642" s="83"/>
      <c r="Z642" s="83"/>
    </row>
    <row r="643">
      <c r="T643" s="83"/>
      <c r="U643" s="83"/>
      <c r="V643" s="83"/>
      <c r="W643" s="83"/>
      <c r="X643" s="83"/>
      <c r="Y643" s="83"/>
      <c r="Z643" s="83"/>
    </row>
    <row r="644">
      <c r="T644" s="83"/>
      <c r="U644" s="83"/>
      <c r="V644" s="83"/>
      <c r="W644" s="83"/>
      <c r="X644" s="83"/>
      <c r="Y644" s="83"/>
      <c r="Z644" s="83"/>
    </row>
    <row r="645">
      <c r="T645" s="83"/>
      <c r="U645" s="83"/>
      <c r="V645" s="83"/>
      <c r="W645" s="83"/>
      <c r="X645" s="83"/>
      <c r="Y645" s="83"/>
      <c r="Z645" s="83"/>
    </row>
    <row r="646">
      <c r="T646" s="83"/>
      <c r="U646" s="83"/>
      <c r="V646" s="83"/>
      <c r="W646" s="83"/>
      <c r="X646" s="83"/>
      <c r="Y646" s="83"/>
      <c r="Z646" s="83"/>
    </row>
    <row r="647">
      <c r="T647" s="83"/>
      <c r="U647" s="83"/>
      <c r="V647" s="83"/>
      <c r="W647" s="83"/>
      <c r="X647" s="83"/>
      <c r="Y647" s="83"/>
      <c r="Z647" s="83"/>
    </row>
    <row r="648">
      <c r="T648" s="83"/>
      <c r="U648" s="83"/>
      <c r="V648" s="83"/>
      <c r="W648" s="83"/>
      <c r="X648" s="83"/>
      <c r="Y648" s="83"/>
      <c r="Z648" s="83"/>
    </row>
    <row r="649">
      <c r="T649" s="83"/>
      <c r="U649" s="83"/>
      <c r="V649" s="83"/>
      <c r="W649" s="83"/>
      <c r="X649" s="83"/>
      <c r="Y649" s="83"/>
      <c r="Z649" s="83"/>
    </row>
    <row r="650">
      <c r="T650" s="83"/>
      <c r="U650" s="83"/>
      <c r="V650" s="83"/>
      <c r="W650" s="83"/>
      <c r="X650" s="83"/>
      <c r="Y650" s="83"/>
      <c r="Z650" s="83"/>
    </row>
    <row r="651">
      <c r="T651" s="83"/>
      <c r="U651" s="83"/>
      <c r="V651" s="83"/>
      <c r="W651" s="83"/>
      <c r="X651" s="83"/>
      <c r="Y651" s="83"/>
      <c r="Z651" s="83"/>
    </row>
    <row r="652">
      <c r="T652" s="83"/>
      <c r="U652" s="83"/>
      <c r="V652" s="83"/>
      <c r="W652" s="83"/>
      <c r="X652" s="83"/>
      <c r="Y652" s="83"/>
      <c r="Z652" s="83"/>
    </row>
    <row r="653">
      <c r="T653" s="83"/>
      <c r="U653" s="83"/>
      <c r="V653" s="83"/>
      <c r="W653" s="83"/>
      <c r="X653" s="83"/>
      <c r="Y653" s="83"/>
      <c r="Z653" s="83"/>
    </row>
    <row r="654">
      <c r="T654" s="83"/>
      <c r="U654" s="83"/>
      <c r="V654" s="83"/>
      <c r="W654" s="83"/>
      <c r="X654" s="83"/>
      <c r="Y654" s="83"/>
      <c r="Z654" s="83"/>
    </row>
    <row r="655">
      <c r="T655" s="83"/>
      <c r="U655" s="83"/>
      <c r="V655" s="83"/>
      <c r="W655" s="83"/>
      <c r="X655" s="83"/>
      <c r="Y655" s="83"/>
      <c r="Z655" s="83"/>
    </row>
    <row r="656">
      <c r="T656" s="83"/>
      <c r="U656" s="83"/>
      <c r="V656" s="83"/>
      <c r="W656" s="83"/>
      <c r="X656" s="83"/>
      <c r="Y656" s="83"/>
      <c r="Z656" s="83"/>
    </row>
    <row r="657">
      <c r="T657" s="83"/>
      <c r="U657" s="83"/>
      <c r="V657" s="83"/>
      <c r="W657" s="83"/>
      <c r="X657" s="83"/>
      <c r="Y657" s="83"/>
      <c r="Z657" s="83"/>
    </row>
    <row r="658">
      <c r="T658" s="83"/>
      <c r="U658" s="83"/>
      <c r="V658" s="83"/>
      <c r="W658" s="83"/>
      <c r="X658" s="83"/>
      <c r="Y658" s="83"/>
      <c r="Z658" s="83"/>
    </row>
    <row r="659">
      <c r="T659" s="83"/>
      <c r="U659" s="83"/>
      <c r="V659" s="83"/>
      <c r="W659" s="83"/>
      <c r="X659" s="83"/>
      <c r="Y659" s="83"/>
      <c r="Z659" s="83"/>
    </row>
    <row r="660">
      <c r="T660" s="83"/>
      <c r="U660" s="83"/>
      <c r="V660" s="83"/>
      <c r="W660" s="83"/>
      <c r="X660" s="83"/>
      <c r="Y660" s="83"/>
      <c r="Z660" s="83"/>
    </row>
    <row r="661">
      <c r="T661" s="83"/>
      <c r="U661" s="83"/>
      <c r="V661" s="83"/>
      <c r="W661" s="83"/>
      <c r="X661" s="83"/>
      <c r="Y661" s="83"/>
      <c r="Z661" s="83"/>
    </row>
    <row r="662">
      <c r="T662" s="83"/>
      <c r="U662" s="83"/>
      <c r="V662" s="83"/>
      <c r="W662" s="83"/>
      <c r="X662" s="83"/>
      <c r="Y662" s="83"/>
      <c r="Z662" s="83"/>
    </row>
    <row r="663">
      <c r="T663" s="83"/>
      <c r="U663" s="83"/>
      <c r="V663" s="83"/>
      <c r="W663" s="83"/>
      <c r="X663" s="83"/>
      <c r="Y663" s="83"/>
      <c r="Z663" s="83"/>
    </row>
    <row r="664">
      <c r="T664" s="83"/>
      <c r="U664" s="83"/>
      <c r="V664" s="83"/>
      <c r="W664" s="83"/>
      <c r="X664" s="83"/>
      <c r="Y664" s="83"/>
      <c r="Z664" s="83"/>
    </row>
    <row r="665">
      <c r="T665" s="83"/>
      <c r="U665" s="83"/>
      <c r="V665" s="83"/>
      <c r="W665" s="83"/>
      <c r="X665" s="83"/>
      <c r="Y665" s="83"/>
      <c r="Z665" s="83"/>
    </row>
    <row r="666">
      <c r="T666" s="83"/>
      <c r="U666" s="83"/>
      <c r="V666" s="83"/>
      <c r="W666" s="83"/>
      <c r="X666" s="83"/>
      <c r="Y666" s="83"/>
      <c r="Z666" s="83"/>
    </row>
    <row r="667">
      <c r="T667" s="83"/>
      <c r="U667" s="83"/>
      <c r="V667" s="83"/>
      <c r="W667" s="83"/>
      <c r="X667" s="83"/>
      <c r="Y667" s="83"/>
      <c r="Z667" s="83"/>
    </row>
    <row r="668">
      <c r="T668" s="83"/>
      <c r="U668" s="83"/>
      <c r="V668" s="83"/>
      <c r="W668" s="83"/>
      <c r="X668" s="83"/>
      <c r="Y668" s="83"/>
      <c r="Z668" s="83"/>
    </row>
    <row r="669">
      <c r="T669" s="83"/>
      <c r="U669" s="83"/>
      <c r="V669" s="83"/>
      <c r="W669" s="83"/>
      <c r="X669" s="83"/>
      <c r="Y669" s="83"/>
      <c r="Z669" s="83"/>
    </row>
    <row r="670">
      <c r="T670" s="83"/>
      <c r="U670" s="83"/>
      <c r="V670" s="83"/>
      <c r="W670" s="83"/>
      <c r="X670" s="83"/>
      <c r="Y670" s="83"/>
      <c r="Z670" s="83"/>
    </row>
    <row r="671">
      <c r="T671" s="83"/>
      <c r="U671" s="83"/>
      <c r="V671" s="83"/>
      <c r="W671" s="83"/>
      <c r="X671" s="83"/>
      <c r="Y671" s="83"/>
      <c r="Z671" s="83"/>
    </row>
    <row r="672">
      <c r="T672" s="83"/>
      <c r="U672" s="83"/>
      <c r="V672" s="83"/>
      <c r="W672" s="83"/>
      <c r="X672" s="83"/>
      <c r="Y672" s="83"/>
      <c r="Z672" s="83"/>
    </row>
    <row r="673">
      <c r="T673" s="83"/>
      <c r="U673" s="83"/>
      <c r="V673" s="83"/>
      <c r="W673" s="83"/>
      <c r="X673" s="83"/>
      <c r="Y673" s="83"/>
      <c r="Z673" s="83"/>
    </row>
    <row r="674">
      <c r="T674" s="83"/>
      <c r="U674" s="83"/>
      <c r="V674" s="83"/>
      <c r="W674" s="83"/>
      <c r="X674" s="83"/>
      <c r="Y674" s="83"/>
      <c r="Z674" s="83"/>
    </row>
    <row r="675">
      <c r="T675" s="83"/>
      <c r="U675" s="83"/>
      <c r="V675" s="83"/>
      <c r="W675" s="83"/>
      <c r="X675" s="83"/>
      <c r="Y675" s="83"/>
      <c r="Z675" s="83"/>
    </row>
    <row r="676">
      <c r="T676" s="83"/>
      <c r="U676" s="83"/>
      <c r="V676" s="83"/>
      <c r="W676" s="83"/>
      <c r="X676" s="83"/>
      <c r="Y676" s="83"/>
      <c r="Z676" s="83"/>
    </row>
    <row r="677">
      <c r="T677" s="83"/>
      <c r="U677" s="83"/>
      <c r="V677" s="83"/>
      <c r="W677" s="83"/>
      <c r="X677" s="83"/>
      <c r="Y677" s="83"/>
      <c r="Z677" s="83"/>
    </row>
    <row r="678">
      <c r="T678" s="83"/>
      <c r="U678" s="83"/>
      <c r="V678" s="83"/>
      <c r="W678" s="83"/>
      <c r="X678" s="83"/>
      <c r="Y678" s="83"/>
      <c r="Z678" s="83"/>
    </row>
    <row r="679">
      <c r="T679" s="83"/>
      <c r="U679" s="83"/>
      <c r="V679" s="83"/>
      <c r="W679" s="83"/>
      <c r="X679" s="83"/>
      <c r="Y679" s="83"/>
      <c r="Z679" s="83"/>
    </row>
    <row r="680">
      <c r="T680" s="83"/>
      <c r="U680" s="83"/>
      <c r="V680" s="83"/>
      <c r="W680" s="83"/>
      <c r="X680" s="83"/>
      <c r="Y680" s="83"/>
      <c r="Z680" s="83"/>
    </row>
    <row r="681">
      <c r="T681" s="83"/>
      <c r="U681" s="83"/>
      <c r="V681" s="83"/>
      <c r="W681" s="83"/>
      <c r="X681" s="83"/>
      <c r="Y681" s="83"/>
      <c r="Z681" s="83"/>
    </row>
    <row r="682">
      <c r="T682" s="83"/>
      <c r="U682" s="83"/>
      <c r="V682" s="83"/>
      <c r="W682" s="83"/>
      <c r="X682" s="83"/>
      <c r="Y682" s="83"/>
      <c r="Z682" s="83"/>
    </row>
    <row r="683">
      <c r="T683" s="83"/>
      <c r="U683" s="83"/>
      <c r="V683" s="83"/>
      <c r="W683" s="83"/>
      <c r="X683" s="83"/>
      <c r="Y683" s="83"/>
      <c r="Z683" s="83"/>
    </row>
    <row r="684">
      <c r="T684" s="83"/>
      <c r="U684" s="83"/>
      <c r="V684" s="83"/>
      <c r="W684" s="83"/>
      <c r="X684" s="83"/>
      <c r="Y684" s="83"/>
      <c r="Z684" s="83"/>
    </row>
    <row r="685">
      <c r="T685" s="83"/>
      <c r="U685" s="83"/>
      <c r="V685" s="83"/>
      <c r="W685" s="83"/>
      <c r="X685" s="83"/>
      <c r="Y685" s="83"/>
      <c r="Z685" s="83"/>
    </row>
    <row r="686">
      <c r="T686" s="83"/>
      <c r="U686" s="83"/>
      <c r="V686" s="83"/>
      <c r="W686" s="83"/>
      <c r="X686" s="83"/>
      <c r="Y686" s="83"/>
      <c r="Z686" s="83"/>
    </row>
    <row r="687">
      <c r="T687" s="83"/>
      <c r="U687" s="83"/>
      <c r="V687" s="83"/>
      <c r="W687" s="83"/>
      <c r="X687" s="83"/>
      <c r="Y687" s="83"/>
      <c r="Z687" s="83"/>
    </row>
    <row r="688">
      <c r="T688" s="83"/>
      <c r="U688" s="83"/>
      <c r="V688" s="83"/>
      <c r="W688" s="83"/>
      <c r="X688" s="83"/>
      <c r="Y688" s="83"/>
      <c r="Z688" s="83"/>
    </row>
    <row r="689">
      <c r="T689" s="83"/>
      <c r="U689" s="83"/>
      <c r="V689" s="83"/>
      <c r="W689" s="83"/>
      <c r="X689" s="83"/>
      <c r="Y689" s="83"/>
      <c r="Z689" s="83"/>
    </row>
    <row r="690">
      <c r="T690" s="83"/>
      <c r="U690" s="83"/>
      <c r="V690" s="83"/>
      <c r="W690" s="83"/>
      <c r="X690" s="83"/>
      <c r="Y690" s="83"/>
      <c r="Z690" s="83"/>
    </row>
    <row r="691">
      <c r="T691" s="83"/>
      <c r="U691" s="83"/>
      <c r="V691" s="83"/>
      <c r="W691" s="83"/>
      <c r="X691" s="83"/>
      <c r="Y691" s="83"/>
      <c r="Z691" s="83"/>
    </row>
    <row r="692">
      <c r="T692" s="83"/>
      <c r="U692" s="83"/>
      <c r="V692" s="83"/>
      <c r="W692" s="83"/>
      <c r="X692" s="83"/>
      <c r="Y692" s="83"/>
      <c r="Z692" s="83"/>
    </row>
    <row r="693">
      <c r="T693" s="83"/>
      <c r="U693" s="83"/>
      <c r="V693" s="83"/>
      <c r="W693" s="83"/>
      <c r="X693" s="83"/>
      <c r="Y693" s="83"/>
      <c r="Z693" s="83"/>
    </row>
    <row r="694">
      <c r="T694" s="83"/>
      <c r="U694" s="83"/>
      <c r="V694" s="83"/>
      <c r="W694" s="83"/>
      <c r="X694" s="83"/>
      <c r="Y694" s="83"/>
      <c r="Z694" s="83"/>
    </row>
    <row r="695">
      <c r="T695" s="83"/>
      <c r="U695" s="83"/>
      <c r="V695" s="83"/>
      <c r="W695" s="83"/>
      <c r="X695" s="83"/>
      <c r="Y695" s="83"/>
      <c r="Z695" s="83"/>
    </row>
    <row r="696">
      <c r="T696" s="83"/>
      <c r="U696" s="83"/>
      <c r="V696" s="83"/>
      <c r="W696" s="83"/>
      <c r="X696" s="83"/>
      <c r="Y696" s="83"/>
      <c r="Z696" s="83"/>
    </row>
    <row r="697">
      <c r="T697" s="83"/>
      <c r="U697" s="83"/>
      <c r="V697" s="83"/>
      <c r="W697" s="83"/>
      <c r="X697" s="83"/>
      <c r="Y697" s="83"/>
      <c r="Z697" s="83"/>
    </row>
    <row r="698">
      <c r="T698" s="83"/>
      <c r="U698" s="83"/>
      <c r="V698" s="83"/>
      <c r="W698" s="83"/>
      <c r="X698" s="83"/>
      <c r="Y698" s="83"/>
      <c r="Z698" s="83"/>
    </row>
    <row r="699">
      <c r="T699" s="83"/>
      <c r="U699" s="83"/>
      <c r="V699" s="83"/>
      <c r="W699" s="83"/>
      <c r="X699" s="83"/>
      <c r="Y699" s="83"/>
      <c r="Z699" s="83"/>
    </row>
    <row r="700">
      <c r="T700" s="83"/>
      <c r="U700" s="83"/>
      <c r="V700" s="83"/>
      <c r="W700" s="83"/>
      <c r="X700" s="83"/>
      <c r="Y700" s="83"/>
      <c r="Z700" s="83"/>
    </row>
    <row r="701">
      <c r="T701" s="83"/>
      <c r="U701" s="83"/>
      <c r="V701" s="83"/>
      <c r="W701" s="83"/>
      <c r="X701" s="83"/>
      <c r="Y701" s="83"/>
      <c r="Z701" s="83"/>
    </row>
    <row r="702">
      <c r="T702" s="83"/>
      <c r="U702" s="83"/>
      <c r="V702" s="83"/>
      <c r="W702" s="83"/>
      <c r="X702" s="83"/>
      <c r="Y702" s="83"/>
      <c r="Z702" s="83"/>
    </row>
    <row r="703">
      <c r="T703" s="83"/>
      <c r="U703" s="83"/>
      <c r="V703" s="83"/>
      <c r="W703" s="83"/>
      <c r="X703" s="83"/>
      <c r="Y703" s="83"/>
      <c r="Z703" s="83"/>
    </row>
    <row r="704">
      <c r="T704" s="83"/>
      <c r="U704" s="83"/>
      <c r="V704" s="83"/>
      <c r="W704" s="83"/>
      <c r="X704" s="83"/>
      <c r="Y704" s="83"/>
      <c r="Z704" s="83"/>
    </row>
    <row r="705">
      <c r="T705" s="83"/>
      <c r="U705" s="83"/>
      <c r="V705" s="83"/>
      <c r="W705" s="83"/>
      <c r="X705" s="83"/>
      <c r="Y705" s="83"/>
      <c r="Z705" s="83"/>
    </row>
    <row r="706">
      <c r="T706" s="83"/>
      <c r="U706" s="83"/>
      <c r="V706" s="83"/>
      <c r="W706" s="83"/>
      <c r="X706" s="83"/>
      <c r="Y706" s="83"/>
      <c r="Z706" s="83"/>
    </row>
    <row r="707">
      <c r="T707" s="83"/>
      <c r="U707" s="83"/>
      <c r="V707" s="83"/>
      <c r="W707" s="83"/>
      <c r="X707" s="83"/>
      <c r="Y707" s="83"/>
      <c r="Z707" s="83"/>
    </row>
    <row r="708">
      <c r="T708" s="83"/>
      <c r="U708" s="83"/>
      <c r="V708" s="83"/>
      <c r="W708" s="83"/>
      <c r="X708" s="83"/>
      <c r="Y708" s="83"/>
      <c r="Z708" s="83"/>
    </row>
    <row r="709">
      <c r="T709" s="83"/>
      <c r="U709" s="83"/>
      <c r="V709" s="83"/>
      <c r="W709" s="83"/>
      <c r="X709" s="83"/>
      <c r="Y709" s="83"/>
      <c r="Z709" s="83"/>
    </row>
    <row r="710">
      <c r="T710" s="83"/>
      <c r="U710" s="83"/>
      <c r="V710" s="83"/>
      <c r="W710" s="83"/>
      <c r="X710" s="83"/>
      <c r="Y710" s="83"/>
      <c r="Z710" s="83"/>
    </row>
    <row r="711">
      <c r="T711" s="83"/>
      <c r="U711" s="83"/>
      <c r="V711" s="83"/>
      <c r="W711" s="83"/>
      <c r="X711" s="83"/>
      <c r="Y711" s="83"/>
      <c r="Z711" s="83"/>
    </row>
    <row r="712">
      <c r="T712" s="83"/>
      <c r="U712" s="83"/>
      <c r="V712" s="83"/>
      <c r="W712" s="83"/>
      <c r="X712" s="83"/>
      <c r="Y712" s="83"/>
      <c r="Z712" s="83"/>
    </row>
    <row r="713">
      <c r="T713" s="83"/>
      <c r="U713" s="83"/>
      <c r="V713" s="83"/>
      <c r="W713" s="83"/>
      <c r="X713" s="83"/>
      <c r="Y713" s="83"/>
      <c r="Z713" s="83"/>
    </row>
    <row r="714">
      <c r="T714" s="83"/>
      <c r="U714" s="83"/>
      <c r="V714" s="83"/>
      <c r="W714" s="83"/>
      <c r="X714" s="83"/>
      <c r="Y714" s="83"/>
      <c r="Z714" s="83"/>
    </row>
    <row r="715">
      <c r="T715" s="83"/>
      <c r="U715" s="83"/>
      <c r="V715" s="83"/>
      <c r="W715" s="83"/>
      <c r="X715" s="83"/>
      <c r="Y715" s="83"/>
      <c r="Z715" s="83"/>
    </row>
    <row r="716">
      <c r="T716" s="83"/>
      <c r="U716" s="83"/>
      <c r="V716" s="83"/>
      <c r="W716" s="83"/>
      <c r="X716" s="83"/>
      <c r="Y716" s="83"/>
      <c r="Z716" s="83"/>
    </row>
    <row r="717">
      <c r="T717" s="83"/>
      <c r="U717" s="83"/>
      <c r="V717" s="83"/>
      <c r="W717" s="83"/>
      <c r="X717" s="83"/>
      <c r="Y717" s="83"/>
      <c r="Z717" s="83"/>
    </row>
    <row r="718">
      <c r="T718" s="83"/>
      <c r="U718" s="83"/>
      <c r="V718" s="83"/>
      <c r="W718" s="83"/>
      <c r="X718" s="83"/>
      <c r="Y718" s="83"/>
      <c r="Z718" s="83"/>
    </row>
    <row r="719">
      <c r="T719" s="83"/>
      <c r="U719" s="83"/>
      <c r="V719" s="83"/>
      <c r="W719" s="83"/>
      <c r="X719" s="83"/>
      <c r="Y719" s="83"/>
      <c r="Z719" s="83"/>
    </row>
    <row r="720">
      <c r="T720" s="83"/>
      <c r="U720" s="83"/>
      <c r="V720" s="83"/>
      <c r="W720" s="83"/>
      <c r="X720" s="83"/>
      <c r="Y720" s="83"/>
      <c r="Z720" s="83"/>
    </row>
    <row r="721">
      <c r="T721" s="83"/>
      <c r="U721" s="83"/>
      <c r="V721" s="83"/>
      <c r="W721" s="83"/>
      <c r="X721" s="83"/>
      <c r="Y721" s="83"/>
      <c r="Z721" s="83"/>
    </row>
    <row r="722">
      <c r="T722" s="83"/>
      <c r="U722" s="83"/>
      <c r="V722" s="83"/>
      <c r="W722" s="83"/>
      <c r="X722" s="83"/>
      <c r="Y722" s="83"/>
      <c r="Z722" s="83"/>
    </row>
    <row r="723">
      <c r="T723" s="83"/>
      <c r="U723" s="83"/>
      <c r="V723" s="83"/>
      <c r="W723" s="83"/>
      <c r="X723" s="83"/>
      <c r="Y723" s="83"/>
      <c r="Z723" s="83"/>
    </row>
    <row r="724">
      <c r="T724" s="83"/>
      <c r="U724" s="83"/>
      <c r="V724" s="83"/>
      <c r="W724" s="83"/>
      <c r="X724" s="83"/>
      <c r="Y724" s="83"/>
      <c r="Z724" s="83"/>
    </row>
    <row r="725">
      <c r="T725" s="83"/>
      <c r="U725" s="83"/>
      <c r="V725" s="83"/>
      <c r="W725" s="83"/>
      <c r="X725" s="83"/>
      <c r="Y725" s="83"/>
      <c r="Z725" s="83"/>
    </row>
    <row r="726">
      <c r="T726" s="83"/>
      <c r="U726" s="83"/>
      <c r="V726" s="83"/>
      <c r="W726" s="83"/>
      <c r="X726" s="83"/>
      <c r="Y726" s="83"/>
      <c r="Z726" s="83"/>
    </row>
    <row r="727">
      <c r="T727" s="83"/>
      <c r="U727" s="83"/>
      <c r="V727" s="83"/>
      <c r="W727" s="83"/>
      <c r="X727" s="83"/>
      <c r="Y727" s="83"/>
      <c r="Z727" s="83"/>
    </row>
    <row r="728">
      <c r="T728" s="83"/>
      <c r="U728" s="83"/>
      <c r="V728" s="83"/>
      <c r="W728" s="83"/>
      <c r="X728" s="83"/>
      <c r="Y728" s="83"/>
      <c r="Z728" s="83"/>
    </row>
    <row r="729">
      <c r="T729" s="83"/>
      <c r="U729" s="83"/>
      <c r="V729" s="83"/>
      <c r="W729" s="83"/>
      <c r="X729" s="83"/>
      <c r="Y729" s="83"/>
      <c r="Z729" s="83"/>
    </row>
    <row r="730">
      <c r="T730" s="83"/>
      <c r="U730" s="83"/>
      <c r="V730" s="83"/>
      <c r="W730" s="83"/>
      <c r="X730" s="83"/>
      <c r="Y730" s="83"/>
      <c r="Z730" s="83"/>
    </row>
    <row r="731">
      <c r="T731" s="83"/>
      <c r="U731" s="83"/>
      <c r="V731" s="83"/>
      <c r="W731" s="83"/>
      <c r="X731" s="83"/>
      <c r="Y731" s="83"/>
      <c r="Z731" s="83"/>
    </row>
    <row r="732">
      <c r="T732" s="83"/>
      <c r="U732" s="83"/>
      <c r="V732" s="83"/>
      <c r="W732" s="83"/>
      <c r="X732" s="83"/>
      <c r="Y732" s="83"/>
      <c r="Z732" s="83"/>
    </row>
    <row r="733">
      <c r="T733" s="83"/>
      <c r="U733" s="83"/>
      <c r="V733" s="83"/>
      <c r="W733" s="83"/>
      <c r="X733" s="83"/>
      <c r="Y733" s="83"/>
      <c r="Z733" s="83"/>
    </row>
    <row r="734">
      <c r="T734" s="83"/>
      <c r="U734" s="83"/>
      <c r="V734" s="83"/>
      <c r="W734" s="83"/>
      <c r="X734" s="83"/>
      <c r="Y734" s="83"/>
      <c r="Z734" s="83"/>
    </row>
    <row r="735">
      <c r="T735" s="83"/>
      <c r="U735" s="83"/>
      <c r="V735" s="83"/>
      <c r="W735" s="83"/>
      <c r="X735" s="83"/>
      <c r="Y735" s="83"/>
      <c r="Z735" s="83"/>
    </row>
    <row r="736">
      <c r="T736" s="83"/>
      <c r="U736" s="83"/>
      <c r="V736" s="83"/>
      <c r="W736" s="83"/>
      <c r="X736" s="83"/>
      <c r="Y736" s="83"/>
      <c r="Z736" s="83"/>
    </row>
    <row r="737">
      <c r="T737" s="83"/>
      <c r="U737" s="83"/>
      <c r="V737" s="83"/>
      <c r="W737" s="83"/>
      <c r="X737" s="83"/>
      <c r="Y737" s="83"/>
      <c r="Z737" s="83"/>
    </row>
    <row r="738">
      <c r="T738" s="83"/>
      <c r="U738" s="83"/>
      <c r="V738" s="83"/>
      <c r="W738" s="83"/>
      <c r="X738" s="83"/>
      <c r="Y738" s="83"/>
      <c r="Z738" s="83"/>
    </row>
    <row r="739">
      <c r="T739" s="83"/>
      <c r="U739" s="83"/>
      <c r="V739" s="83"/>
      <c r="W739" s="83"/>
      <c r="X739" s="83"/>
      <c r="Y739" s="83"/>
      <c r="Z739" s="83"/>
    </row>
    <row r="740">
      <c r="T740" s="83"/>
      <c r="U740" s="83"/>
      <c r="V740" s="83"/>
      <c r="W740" s="83"/>
      <c r="X740" s="83"/>
      <c r="Y740" s="83"/>
      <c r="Z740" s="83"/>
    </row>
    <row r="741">
      <c r="T741" s="83"/>
      <c r="U741" s="83"/>
      <c r="V741" s="83"/>
      <c r="W741" s="83"/>
      <c r="X741" s="83"/>
      <c r="Y741" s="83"/>
      <c r="Z741" s="83"/>
    </row>
    <row r="742">
      <c r="T742" s="83"/>
      <c r="U742" s="83"/>
      <c r="V742" s="83"/>
      <c r="W742" s="83"/>
      <c r="X742" s="83"/>
      <c r="Y742" s="83"/>
      <c r="Z742" s="83"/>
    </row>
    <row r="743">
      <c r="T743" s="83"/>
      <c r="U743" s="83"/>
      <c r="V743" s="83"/>
      <c r="W743" s="83"/>
      <c r="X743" s="83"/>
      <c r="Y743" s="83"/>
      <c r="Z743" s="83"/>
    </row>
    <row r="744">
      <c r="T744" s="83"/>
      <c r="U744" s="83"/>
      <c r="V744" s="83"/>
      <c r="W744" s="83"/>
      <c r="X744" s="83"/>
      <c r="Y744" s="83"/>
      <c r="Z744" s="83"/>
    </row>
    <row r="745">
      <c r="T745" s="83"/>
      <c r="U745" s="83"/>
      <c r="V745" s="83"/>
      <c r="W745" s="83"/>
      <c r="X745" s="83"/>
      <c r="Y745" s="83"/>
      <c r="Z745" s="83"/>
    </row>
    <row r="746">
      <c r="T746" s="83"/>
      <c r="U746" s="83"/>
      <c r="V746" s="83"/>
      <c r="W746" s="83"/>
      <c r="X746" s="83"/>
      <c r="Y746" s="83"/>
      <c r="Z746" s="83"/>
    </row>
    <row r="747">
      <c r="T747" s="83"/>
      <c r="U747" s="83"/>
      <c r="V747" s="83"/>
      <c r="W747" s="83"/>
      <c r="X747" s="83"/>
      <c r="Y747" s="83"/>
      <c r="Z747" s="83"/>
    </row>
    <row r="748">
      <c r="T748" s="83"/>
      <c r="U748" s="83"/>
      <c r="V748" s="83"/>
      <c r="W748" s="83"/>
      <c r="X748" s="83"/>
      <c r="Y748" s="83"/>
      <c r="Z748" s="83"/>
    </row>
    <row r="749">
      <c r="T749" s="83"/>
      <c r="U749" s="83"/>
      <c r="V749" s="83"/>
      <c r="W749" s="83"/>
      <c r="X749" s="83"/>
      <c r="Y749" s="83"/>
      <c r="Z749" s="83"/>
    </row>
    <row r="750">
      <c r="T750" s="83"/>
      <c r="U750" s="83"/>
      <c r="V750" s="83"/>
      <c r="W750" s="83"/>
      <c r="X750" s="83"/>
      <c r="Y750" s="83"/>
      <c r="Z750" s="83"/>
    </row>
    <row r="751">
      <c r="T751" s="83"/>
      <c r="U751" s="83"/>
      <c r="V751" s="83"/>
      <c r="W751" s="83"/>
      <c r="X751" s="83"/>
      <c r="Y751" s="83"/>
      <c r="Z751" s="83"/>
    </row>
    <row r="752">
      <c r="T752" s="83"/>
      <c r="U752" s="83"/>
      <c r="V752" s="83"/>
      <c r="W752" s="83"/>
      <c r="X752" s="83"/>
      <c r="Y752" s="83"/>
      <c r="Z752" s="83"/>
    </row>
    <row r="753">
      <c r="T753" s="83"/>
      <c r="U753" s="83"/>
      <c r="V753" s="83"/>
      <c r="W753" s="83"/>
      <c r="X753" s="83"/>
      <c r="Y753" s="83"/>
      <c r="Z753" s="83"/>
    </row>
    <row r="754">
      <c r="T754" s="83"/>
      <c r="U754" s="83"/>
      <c r="V754" s="83"/>
      <c r="W754" s="83"/>
      <c r="X754" s="83"/>
      <c r="Y754" s="83"/>
      <c r="Z754" s="83"/>
    </row>
    <row r="755">
      <c r="T755" s="83"/>
      <c r="U755" s="83"/>
      <c r="V755" s="83"/>
      <c r="W755" s="83"/>
      <c r="X755" s="83"/>
      <c r="Y755" s="83"/>
      <c r="Z755" s="83"/>
    </row>
    <row r="756">
      <c r="T756" s="83"/>
      <c r="U756" s="83"/>
      <c r="V756" s="83"/>
      <c r="W756" s="83"/>
      <c r="X756" s="83"/>
      <c r="Y756" s="83"/>
      <c r="Z756" s="83"/>
    </row>
    <row r="757">
      <c r="T757" s="83"/>
      <c r="U757" s="83"/>
      <c r="V757" s="83"/>
      <c r="W757" s="83"/>
      <c r="X757" s="83"/>
      <c r="Y757" s="83"/>
      <c r="Z757" s="83"/>
    </row>
    <row r="758">
      <c r="T758" s="83"/>
      <c r="U758" s="83"/>
      <c r="V758" s="83"/>
      <c r="W758" s="83"/>
      <c r="X758" s="83"/>
      <c r="Y758" s="83"/>
      <c r="Z758" s="83"/>
    </row>
    <row r="759">
      <c r="T759" s="83"/>
      <c r="U759" s="83"/>
      <c r="V759" s="83"/>
      <c r="W759" s="83"/>
      <c r="X759" s="83"/>
      <c r="Y759" s="83"/>
      <c r="Z759" s="83"/>
    </row>
    <row r="760">
      <c r="T760" s="83"/>
      <c r="U760" s="83"/>
      <c r="V760" s="83"/>
      <c r="W760" s="83"/>
      <c r="X760" s="83"/>
      <c r="Y760" s="83"/>
      <c r="Z760" s="83"/>
    </row>
    <row r="761">
      <c r="T761" s="83"/>
      <c r="U761" s="83"/>
      <c r="V761" s="83"/>
      <c r="W761" s="83"/>
      <c r="X761" s="83"/>
      <c r="Y761" s="83"/>
      <c r="Z761" s="83"/>
    </row>
    <row r="762">
      <c r="T762" s="83"/>
      <c r="U762" s="83"/>
      <c r="V762" s="83"/>
      <c r="W762" s="83"/>
      <c r="X762" s="83"/>
      <c r="Y762" s="83"/>
      <c r="Z762" s="83"/>
    </row>
    <row r="763">
      <c r="T763" s="83"/>
      <c r="U763" s="83"/>
      <c r="V763" s="83"/>
      <c r="W763" s="83"/>
      <c r="X763" s="83"/>
      <c r="Y763" s="83"/>
      <c r="Z763" s="83"/>
    </row>
    <row r="764">
      <c r="T764" s="83"/>
      <c r="U764" s="83"/>
      <c r="V764" s="83"/>
      <c r="W764" s="83"/>
      <c r="X764" s="83"/>
      <c r="Y764" s="83"/>
      <c r="Z764" s="83"/>
    </row>
    <row r="765">
      <c r="T765" s="83"/>
      <c r="U765" s="83"/>
      <c r="V765" s="83"/>
      <c r="W765" s="83"/>
      <c r="X765" s="83"/>
      <c r="Y765" s="83"/>
      <c r="Z765" s="83"/>
    </row>
    <row r="766">
      <c r="T766" s="83"/>
      <c r="U766" s="83"/>
      <c r="V766" s="83"/>
      <c r="W766" s="83"/>
      <c r="X766" s="83"/>
      <c r="Y766" s="83"/>
      <c r="Z766" s="83"/>
    </row>
    <row r="767">
      <c r="T767" s="83"/>
      <c r="U767" s="83"/>
      <c r="V767" s="83"/>
      <c r="W767" s="83"/>
      <c r="X767" s="83"/>
      <c r="Y767" s="83"/>
      <c r="Z767" s="83"/>
    </row>
    <row r="768">
      <c r="T768" s="83"/>
      <c r="U768" s="83"/>
      <c r="V768" s="83"/>
      <c r="W768" s="83"/>
      <c r="X768" s="83"/>
      <c r="Y768" s="83"/>
      <c r="Z768" s="83"/>
    </row>
    <row r="769">
      <c r="T769" s="83"/>
      <c r="U769" s="83"/>
      <c r="V769" s="83"/>
      <c r="W769" s="83"/>
      <c r="X769" s="83"/>
      <c r="Y769" s="83"/>
      <c r="Z769" s="83"/>
    </row>
    <row r="770">
      <c r="T770" s="83"/>
      <c r="U770" s="83"/>
      <c r="V770" s="83"/>
      <c r="W770" s="83"/>
      <c r="X770" s="83"/>
      <c r="Y770" s="83"/>
      <c r="Z770" s="83"/>
    </row>
    <row r="771">
      <c r="T771" s="83"/>
      <c r="U771" s="83"/>
      <c r="V771" s="83"/>
      <c r="W771" s="83"/>
      <c r="X771" s="83"/>
      <c r="Y771" s="83"/>
      <c r="Z771" s="83"/>
    </row>
    <row r="772">
      <c r="T772" s="83"/>
      <c r="U772" s="83"/>
      <c r="V772" s="83"/>
      <c r="W772" s="83"/>
      <c r="X772" s="83"/>
      <c r="Y772" s="83"/>
      <c r="Z772" s="83"/>
    </row>
    <row r="773">
      <c r="T773" s="83"/>
      <c r="U773" s="83"/>
      <c r="V773" s="83"/>
      <c r="W773" s="83"/>
      <c r="X773" s="83"/>
      <c r="Y773" s="83"/>
      <c r="Z773" s="83"/>
    </row>
    <row r="774">
      <c r="T774" s="83"/>
      <c r="U774" s="83"/>
      <c r="V774" s="83"/>
      <c r="W774" s="83"/>
      <c r="X774" s="83"/>
      <c r="Y774" s="83"/>
      <c r="Z774" s="83"/>
    </row>
    <row r="775">
      <c r="T775" s="83"/>
      <c r="U775" s="83"/>
      <c r="V775" s="83"/>
      <c r="W775" s="83"/>
      <c r="X775" s="83"/>
      <c r="Y775" s="83"/>
      <c r="Z775" s="83"/>
    </row>
    <row r="776">
      <c r="T776" s="83"/>
      <c r="U776" s="83"/>
      <c r="V776" s="83"/>
      <c r="W776" s="83"/>
      <c r="X776" s="83"/>
      <c r="Y776" s="83"/>
      <c r="Z776" s="83"/>
    </row>
    <row r="777">
      <c r="T777" s="83"/>
      <c r="U777" s="83"/>
      <c r="V777" s="83"/>
      <c r="W777" s="83"/>
      <c r="X777" s="83"/>
      <c r="Y777" s="83"/>
      <c r="Z777" s="83"/>
    </row>
    <row r="778">
      <c r="T778" s="83"/>
      <c r="U778" s="83"/>
      <c r="V778" s="83"/>
      <c r="W778" s="83"/>
      <c r="X778" s="83"/>
      <c r="Y778" s="83"/>
      <c r="Z778" s="83"/>
    </row>
    <row r="779">
      <c r="T779" s="83"/>
      <c r="U779" s="83"/>
      <c r="V779" s="83"/>
      <c r="W779" s="83"/>
      <c r="X779" s="83"/>
      <c r="Y779" s="83"/>
      <c r="Z779" s="83"/>
    </row>
    <row r="780">
      <c r="T780" s="83"/>
      <c r="U780" s="83"/>
      <c r="V780" s="83"/>
      <c r="W780" s="83"/>
      <c r="X780" s="83"/>
      <c r="Y780" s="83"/>
      <c r="Z780" s="83"/>
    </row>
    <row r="781">
      <c r="T781" s="83"/>
      <c r="U781" s="83"/>
      <c r="V781" s="83"/>
      <c r="W781" s="83"/>
      <c r="X781" s="83"/>
      <c r="Y781" s="83"/>
      <c r="Z781" s="83"/>
    </row>
    <row r="782">
      <c r="T782" s="83"/>
      <c r="U782" s="83"/>
      <c r="V782" s="83"/>
      <c r="W782" s="83"/>
      <c r="X782" s="83"/>
      <c r="Y782" s="83"/>
      <c r="Z782" s="83"/>
    </row>
    <row r="783">
      <c r="T783" s="83"/>
      <c r="U783" s="83"/>
      <c r="V783" s="83"/>
      <c r="W783" s="83"/>
      <c r="X783" s="83"/>
      <c r="Y783" s="83"/>
      <c r="Z783" s="83"/>
    </row>
    <row r="784">
      <c r="T784" s="83"/>
      <c r="U784" s="83"/>
      <c r="V784" s="83"/>
      <c r="W784" s="83"/>
      <c r="X784" s="83"/>
      <c r="Y784" s="83"/>
      <c r="Z784" s="83"/>
    </row>
    <row r="785">
      <c r="T785" s="83"/>
      <c r="U785" s="83"/>
      <c r="V785" s="83"/>
      <c r="W785" s="83"/>
      <c r="X785" s="83"/>
      <c r="Y785" s="83"/>
      <c r="Z785" s="83"/>
    </row>
    <row r="786">
      <c r="T786" s="83"/>
      <c r="U786" s="83"/>
      <c r="V786" s="83"/>
      <c r="W786" s="83"/>
      <c r="X786" s="83"/>
      <c r="Y786" s="83"/>
      <c r="Z786" s="83"/>
    </row>
    <row r="787">
      <c r="T787" s="83"/>
      <c r="U787" s="83"/>
      <c r="V787" s="83"/>
      <c r="W787" s="83"/>
      <c r="X787" s="83"/>
      <c r="Y787" s="83"/>
      <c r="Z787" s="83"/>
    </row>
    <row r="788">
      <c r="T788" s="83"/>
      <c r="U788" s="83"/>
      <c r="V788" s="83"/>
      <c r="W788" s="83"/>
      <c r="X788" s="83"/>
      <c r="Y788" s="83"/>
      <c r="Z788" s="83"/>
    </row>
    <row r="789">
      <c r="T789" s="83"/>
      <c r="U789" s="83"/>
      <c r="V789" s="83"/>
      <c r="W789" s="83"/>
      <c r="X789" s="83"/>
      <c r="Y789" s="83"/>
      <c r="Z789" s="83"/>
    </row>
    <row r="790">
      <c r="T790" s="83"/>
      <c r="U790" s="83"/>
      <c r="V790" s="83"/>
      <c r="W790" s="83"/>
      <c r="X790" s="83"/>
      <c r="Y790" s="83"/>
      <c r="Z790" s="83"/>
    </row>
    <row r="791">
      <c r="T791" s="83"/>
      <c r="U791" s="83"/>
      <c r="V791" s="83"/>
      <c r="W791" s="83"/>
      <c r="X791" s="83"/>
      <c r="Y791" s="83"/>
      <c r="Z791" s="83"/>
    </row>
    <row r="792">
      <c r="T792" s="83"/>
      <c r="U792" s="83"/>
      <c r="V792" s="83"/>
      <c r="W792" s="83"/>
      <c r="X792" s="83"/>
      <c r="Y792" s="83"/>
      <c r="Z792" s="83"/>
    </row>
    <row r="793">
      <c r="T793" s="83"/>
      <c r="U793" s="83"/>
      <c r="V793" s="83"/>
      <c r="W793" s="83"/>
      <c r="X793" s="83"/>
      <c r="Y793" s="83"/>
      <c r="Z793" s="83"/>
    </row>
    <row r="794">
      <c r="T794" s="83"/>
      <c r="U794" s="83"/>
      <c r="V794" s="83"/>
      <c r="W794" s="83"/>
      <c r="X794" s="83"/>
      <c r="Y794" s="83"/>
      <c r="Z794" s="83"/>
    </row>
    <row r="795">
      <c r="T795" s="83"/>
      <c r="U795" s="83"/>
      <c r="V795" s="83"/>
      <c r="W795" s="83"/>
      <c r="X795" s="83"/>
      <c r="Y795" s="83"/>
      <c r="Z795" s="83"/>
    </row>
    <row r="796">
      <c r="T796" s="83"/>
      <c r="U796" s="83"/>
      <c r="V796" s="83"/>
      <c r="W796" s="83"/>
      <c r="X796" s="83"/>
      <c r="Y796" s="83"/>
      <c r="Z796" s="83"/>
    </row>
    <row r="797">
      <c r="T797" s="83"/>
      <c r="U797" s="83"/>
      <c r="V797" s="83"/>
      <c r="W797" s="83"/>
      <c r="X797" s="83"/>
      <c r="Y797" s="83"/>
      <c r="Z797" s="83"/>
    </row>
    <row r="798">
      <c r="T798" s="83"/>
      <c r="U798" s="83"/>
      <c r="V798" s="83"/>
      <c r="W798" s="83"/>
      <c r="X798" s="83"/>
      <c r="Y798" s="83"/>
      <c r="Z798" s="83"/>
    </row>
    <row r="799">
      <c r="T799" s="83"/>
      <c r="U799" s="83"/>
      <c r="V799" s="83"/>
      <c r="W799" s="83"/>
      <c r="X799" s="83"/>
      <c r="Y799" s="83"/>
      <c r="Z799" s="83"/>
    </row>
    <row r="800">
      <c r="T800" s="83"/>
      <c r="U800" s="83"/>
      <c r="V800" s="83"/>
      <c r="W800" s="83"/>
      <c r="X800" s="83"/>
      <c r="Y800" s="83"/>
      <c r="Z800" s="83"/>
    </row>
    <row r="801">
      <c r="T801" s="83"/>
      <c r="U801" s="83"/>
      <c r="V801" s="83"/>
      <c r="W801" s="83"/>
      <c r="X801" s="83"/>
      <c r="Y801" s="83"/>
      <c r="Z801" s="83"/>
    </row>
    <row r="802">
      <c r="T802" s="83"/>
      <c r="U802" s="83"/>
      <c r="V802" s="83"/>
      <c r="W802" s="83"/>
      <c r="X802" s="83"/>
      <c r="Y802" s="83"/>
      <c r="Z802" s="83"/>
    </row>
    <row r="803">
      <c r="T803" s="83"/>
      <c r="U803" s="83"/>
      <c r="V803" s="83"/>
      <c r="W803" s="83"/>
      <c r="X803" s="83"/>
      <c r="Y803" s="83"/>
      <c r="Z803" s="83"/>
    </row>
    <row r="804">
      <c r="T804" s="83"/>
      <c r="U804" s="83"/>
      <c r="V804" s="83"/>
      <c r="W804" s="83"/>
      <c r="X804" s="83"/>
      <c r="Y804" s="83"/>
      <c r="Z804" s="83"/>
    </row>
    <row r="805">
      <c r="T805" s="83"/>
      <c r="U805" s="83"/>
      <c r="V805" s="83"/>
      <c r="W805" s="83"/>
      <c r="X805" s="83"/>
      <c r="Y805" s="83"/>
      <c r="Z805" s="83"/>
    </row>
    <row r="806">
      <c r="T806" s="83"/>
      <c r="U806" s="83"/>
      <c r="V806" s="83"/>
      <c r="W806" s="83"/>
      <c r="X806" s="83"/>
      <c r="Y806" s="83"/>
      <c r="Z806" s="83"/>
    </row>
    <row r="807">
      <c r="T807" s="83"/>
      <c r="U807" s="83"/>
      <c r="V807" s="83"/>
      <c r="W807" s="83"/>
      <c r="X807" s="83"/>
      <c r="Y807" s="83"/>
      <c r="Z807" s="83"/>
    </row>
    <row r="808">
      <c r="T808" s="83"/>
      <c r="U808" s="83"/>
      <c r="V808" s="83"/>
      <c r="W808" s="83"/>
      <c r="X808" s="83"/>
      <c r="Y808" s="83"/>
      <c r="Z808" s="83"/>
    </row>
    <row r="809">
      <c r="T809" s="83"/>
      <c r="U809" s="83"/>
      <c r="V809" s="83"/>
      <c r="W809" s="83"/>
      <c r="X809" s="83"/>
      <c r="Y809" s="83"/>
      <c r="Z809" s="83"/>
    </row>
    <row r="810">
      <c r="T810" s="83"/>
      <c r="U810" s="83"/>
      <c r="V810" s="83"/>
      <c r="W810" s="83"/>
      <c r="X810" s="83"/>
      <c r="Y810" s="83"/>
      <c r="Z810" s="83"/>
    </row>
    <row r="811">
      <c r="T811" s="83"/>
      <c r="U811" s="83"/>
      <c r="V811" s="83"/>
      <c r="W811" s="83"/>
      <c r="X811" s="83"/>
      <c r="Y811" s="83"/>
      <c r="Z811" s="83"/>
    </row>
    <row r="812">
      <c r="T812" s="83"/>
      <c r="U812" s="83"/>
      <c r="V812" s="83"/>
      <c r="W812" s="83"/>
      <c r="X812" s="83"/>
      <c r="Y812" s="83"/>
      <c r="Z812" s="83"/>
    </row>
    <row r="813">
      <c r="T813" s="83"/>
      <c r="U813" s="83"/>
      <c r="V813" s="83"/>
      <c r="W813" s="83"/>
      <c r="X813" s="83"/>
      <c r="Y813" s="83"/>
      <c r="Z813" s="83"/>
    </row>
    <row r="814">
      <c r="T814" s="83"/>
      <c r="U814" s="83"/>
      <c r="V814" s="83"/>
      <c r="W814" s="83"/>
      <c r="X814" s="83"/>
      <c r="Y814" s="83"/>
      <c r="Z814" s="83"/>
    </row>
    <row r="815">
      <c r="T815" s="83"/>
      <c r="U815" s="83"/>
      <c r="V815" s="83"/>
      <c r="W815" s="83"/>
      <c r="X815" s="83"/>
      <c r="Y815" s="83"/>
      <c r="Z815" s="83"/>
    </row>
    <row r="816">
      <c r="T816" s="83"/>
      <c r="U816" s="83"/>
      <c r="V816" s="83"/>
      <c r="W816" s="83"/>
      <c r="X816" s="83"/>
      <c r="Y816" s="83"/>
      <c r="Z816" s="83"/>
    </row>
    <row r="817">
      <c r="T817" s="83"/>
      <c r="U817" s="83"/>
      <c r="V817" s="83"/>
      <c r="W817" s="83"/>
      <c r="X817" s="83"/>
      <c r="Y817" s="83"/>
      <c r="Z817" s="83"/>
    </row>
    <row r="818">
      <c r="T818" s="83"/>
      <c r="U818" s="83"/>
      <c r="V818" s="83"/>
      <c r="W818" s="83"/>
      <c r="X818" s="83"/>
      <c r="Y818" s="83"/>
      <c r="Z818" s="83"/>
    </row>
    <row r="819">
      <c r="T819" s="83"/>
      <c r="U819" s="83"/>
      <c r="V819" s="83"/>
      <c r="W819" s="83"/>
      <c r="X819" s="83"/>
      <c r="Y819" s="83"/>
      <c r="Z819" s="83"/>
    </row>
    <row r="820">
      <c r="T820" s="83"/>
      <c r="U820" s="83"/>
      <c r="V820" s="83"/>
      <c r="W820" s="83"/>
      <c r="X820" s="83"/>
      <c r="Y820" s="83"/>
      <c r="Z820" s="83"/>
    </row>
    <row r="821">
      <c r="T821" s="83"/>
      <c r="U821" s="83"/>
      <c r="V821" s="83"/>
      <c r="W821" s="83"/>
      <c r="X821" s="83"/>
      <c r="Y821" s="83"/>
      <c r="Z821" s="83"/>
    </row>
    <row r="822">
      <c r="T822" s="83"/>
      <c r="U822" s="83"/>
      <c r="V822" s="83"/>
      <c r="W822" s="83"/>
      <c r="X822" s="83"/>
      <c r="Y822" s="83"/>
      <c r="Z822" s="83"/>
    </row>
    <row r="823">
      <c r="T823" s="83"/>
      <c r="U823" s="83"/>
      <c r="V823" s="83"/>
      <c r="W823" s="83"/>
      <c r="X823" s="83"/>
      <c r="Y823" s="83"/>
      <c r="Z823" s="83"/>
    </row>
    <row r="824">
      <c r="T824" s="83"/>
      <c r="U824" s="83"/>
      <c r="V824" s="83"/>
      <c r="W824" s="83"/>
      <c r="X824" s="83"/>
      <c r="Y824" s="83"/>
      <c r="Z824" s="83"/>
    </row>
    <row r="825">
      <c r="T825" s="83"/>
      <c r="U825" s="83"/>
      <c r="V825" s="83"/>
      <c r="W825" s="83"/>
      <c r="X825" s="83"/>
      <c r="Y825" s="83"/>
      <c r="Z825" s="83"/>
    </row>
    <row r="826">
      <c r="T826" s="83"/>
      <c r="U826" s="83"/>
      <c r="V826" s="83"/>
      <c r="W826" s="83"/>
      <c r="X826" s="83"/>
      <c r="Y826" s="83"/>
      <c r="Z826" s="83"/>
    </row>
    <row r="827">
      <c r="T827" s="83"/>
      <c r="U827" s="83"/>
      <c r="V827" s="83"/>
      <c r="W827" s="83"/>
      <c r="X827" s="83"/>
      <c r="Y827" s="83"/>
      <c r="Z827" s="83"/>
    </row>
    <row r="828">
      <c r="T828" s="83"/>
      <c r="U828" s="83"/>
      <c r="V828" s="83"/>
      <c r="W828" s="83"/>
      <c r="X828" s="83"/>
      <c r="Y828" s="83"/>
      <c r="Z828" s="83"/>
    </row>
    <row r="829">
      <c r="T829" s="83"/>
      <c r="U829" s="83"/>
      <c r="V829" s="83"/>
      <c r="W829" s="83"/>
      <c r="X829" s="83"/>
      <c r="Y829" s="83"/>
      <c r="Z829" s="83"/>
    </row>
    <row r="830">
      <c r="T830" s="83"/>
      <c r="U830" s="83"/>
      <c r="V830" s="83"/>
      <c r="W830" s="83"/>
      <c r="X830" s="83"/>
      <c r="Y830" s="83"/>
      <c r="Z830" s="83"/>
    </row>
    <row r="831">
      <c r="T831" s="83"/>
      <c r="U831" s="83"/>
      <c r="V831" s="83"/>
      <c r="W831" s="83"/>
      <c r="X831" s="83"/>
      <c r="Y831" s="83"/>
      <c r="Z831" s="83"/>
    </row>
    <row r="832">
      <c r="T832" s="83"/>
      <c r="U832" s="83"/>
      <c r="V832" s="83"/>
      <c r="W832" s="83"/>
      <c r="X832" s="83"/>
      <c r="Y832" s="83"/>
      <c r="Z832" s="83"/>
    </row>
    <row r="833">
      <c r="T833" s="83"/>
      <c r="U833" s="83"/>
      <c r="V833" s="83"/>
      <c r="W833" s="83"/>
      <c r="X833" s="83"/>
      <c r="Y833" s="83"/>
      <c r="Z833" s="83"/>
    </row>
    <row r="834">
      <c r="T834" s="83"/>
      <c r="U834" s="83"/>
      <c r="V834" s="83"/>
      <c r="W834" s="83"/>
      <c r="X834" s="83"/>
      <c r="Y834" s="83"/>
      <c r="Z834" s="83"/>
    </row>
    <row r="835">
      <c r="T835" s="83"/>
      <c r="U835" s="83"/>
      <c r="V835" s="83"/>
      <c r="W835" s="83"/>
      <c r="X835" s="83"/>
      <c r="Y835" s="83"/>
      <c r="Z835" s="83"/>
    </row>
    <row r="836">
      <c r="T836" s="83"/>
      <c r="U836" s="83"/>
      <c r="V836" s="83"/>
      <c r="W836" s="83"/>
      <c r="X836" s="83"/>
      <c r="Y836" s="83"/>
      <c r="Z836" s="83"/>
    </row>
    <row r="837">
      <c r="T837" s="83"/>
      <c r="U837" s="83"/>
      <c r="V837" s="83"/>
      <c r="W837" s="83"/>
      <c r="X837" s="83"/>
      <c r="Y837" s="83"/>
      <c r="Z837" s="83"/>
    </row>
    <row r="838">
      <c r="T838" s="83"/>
      <c r="U838" s="83"/>
      <c r="V838" s="83"/>
      <c r="W838" s="83"/>
      <c r="X838" s="83"/>
      <c r="Y838" s="83"/>
      <c r="Z838" s="83"/>
    </row>
    <row r="839">
      <c r="T839" s="83"/>
      <c r="U839" s="83"/>
      <c r="V839" s="83"/>
      <c r="W839" s="83"/>
      <c r="X839" s="83"/>
      <c r="Y839" s="83"/>
      <c r="Z839" s="83"/>
    </row>
    <row r="840">
      <c r="T840" s="83"/>
      <c r="U840" s="83"/>
      <c r="V840" s="83"/>
      <c r="W840" s="83"/>
      <c r="X840" s="83"/>
      <c r="Y840" s="83"/>
      <c r="Z840" s="83"/>
    </row>
    <row r="841">
      <c r="T841" s="83"/>
      <c r="U841" s="83"/>
      <c r="V841" s="83"/>
      <c r="W841" s="83"/>
      <c r="X841" s="83"/>
      <c r="Y841" s="83"/>
      <c r="Z841" s="83"/>
    </row>
    <row r="842">
      <c r="T842" s="83"/>
      <c r="U842" s="83"/>
      <c r="V842" s="83"/>
      <c r="W842" s="83"/>
      <c r="X842" s="83"/>
      <c r="Y842" s="83"/>
      <c r="Z842" s="83"/>
    </row>
    <row r="843">
      <c r="T843" s="83"/>
      <c r="U843" s="83"/>
      <c r="V843" s="83"/>
      <c r="W843" s="83"/>
      <c r="X843" s="83"/>
      <c r="Y843" s="83"/>
      <c r="Z843" s="83"/>
    </row>
    <row r="844">
      <c r="T844" s="83"/>
      <c r="U844" s="83"/>
      <c r="V844" s="83"/>
      <c r="W844" s="83"/>
      <c r="X844" s="83"/>
      <c r="Y844" s="83"/>
      <c r="Z844" s="83"/>
    </row>
    <row r="845">
      <c r="T845" s="83"/>
      <c r="U845" s="83"/>
      <c r="V845" s="83"/>
      <c r="W845" s="83"/>
      <c r="X845" s="83"/>
      <c r="Y845" s="83"/>
      <c r="Z845" s="83"/>
    </row>
    <row r="846">
      <c r="T846" s="83"/>
      <c r="U846" s="83"/>
      <c r="V846" s="83"/>
      <c r="W846" s="83"/>
      <c r="X846" s="83"/>
      <c r="Y846" s="83"/>
      <c r="Z846" s="83"/>
    </row>
    <row r="847">
      <c r="T847" s="83"/>
      <c r="U847" s="83"/>
      <c r="V847" s="83"/>
      <c r="W847" s="83"/>
      <c r="X847" s="83"/>
      <c r="Y847" s="83"/>
      <c r="Z847" s="83"/>
    </row>
    <row r="848">
      <c r="T848" s="83"/>
      <c r="U848" s="83"/>
      <c r="V848" s="83"/>
      <c r="W848" s="83"/>
      <c r="X848" s="83"/>
      <c r="Y848" s="83"/>
      <c r="Z848" s="83"/>
    </row>
    <row r="849">
      <c r="T849" s="83"/>
      <c r="U849" s="83"/>
      <c r="V849" s="83"/>
      <c r="W849" s="83"/>
      <c r="X849" s="83"/>
      <c r="Y849" s="83"/>
      <c r="Z849" s="83"/>
    </row>
    <row r="850">
      <c r="T850" s="83"/>
      <c r="U850" s="83"/>
      <c r="V850" s="83"/>
      <c r="W850" s="83"/>
      <c r="X850" s="83"/>
      <c r="Y850" s="83"/>
      <c r="Z850" s="83"/>
    </row>
    <row r="851">
      <c r="T851" s="83"/>
      <c r="U851" s="83"/>
      <c r="V851" s="83"/>
      <c r="W851" s="83"/>
      <c r="X851" s="83"/>
      <c r="Y851" s="83"/>
      <c r="Z851" s="83"/>
    </row>
    <row r="852">
      <c r="T852" s="83"/>
      <c r="U852" s="83"/>
      <c r="V852" s="83"/>
      <c r="W852" s="83"/>
      <c r="X852" s="83"/>
      <c r="Y852" s="83"/>
      <c r="Z852" s="83"/>
    </row>
    <row r="853">
      <c r="T853" s="83"/>
      <c r="U853" s="83"/>
      <c r="V853" s="83"/>
      <c r="W853" s="83"/>
      <c r="X853" s="83"/>
      <c r="Y853" s="83"/>
      <c r="Z853" s="83"/>
    </row>
    <row r="854">
      <c r="T854" s="83"/>
      <c r="U854" s="83"/>
      <c r="V854" s="83"/>
      <c r="W854" s="83"/>
      <c r="X854" s="83"/>
      <c r="Y854" s="83"/>
      <c r="Z854" s="83"/>
    </row>
    <row r="855">
      <c r="T855" s="83"/>
      <c r="U855" s="83"/>
      <c r="V855" s="83"/>
      <c r="W855" s="83"/>
      <c r="X855" s="83"/>
      <c r="Y855" s="83"/>
      <c r="Z855" s="83"/>
    </row>
    <row r="856">
      <c r="T856" s="83"/>
      <c r="U856" s="83"/>
      <c r="V856" s="83"/>
      <c r="W856" s="83"/>
      <c r="X856" s="83"/>
      <c r="Y856" s="83"/>
      <c r="Z856" s="83"/>
    </row>
    <row r="857">
      <c r="T857" s="83"/>
      <c r="U857" s="83"/>
      <c r="V857" s="83"/>
      <c r="W857" s="83"/>
      <c r="X857" s="83"/>
      <c r="Y857" s="83"/>
      <c r="Z857" s="83"/>
    </row>
    <row r="858">
      <c r="T858" s="83"/>
      <c r="U858" s="83"/>
      <c r="V858" s="83"/>
      <c r="W858" s="83"/>
      <c r="X858" s="83"/>
      <c r="Y858" s="83"/>
      <c r="Z858" s="83"/>
    </row>
    <row r="859">
      <c r="T859" s="83"/>
      <c r="U859" s="83"/>
      <c r="V859" s="83"/>
      <c r="W859" s="83"/>
      <c r="X859" s="83"/>
      <c r="Y859" s="83"/>
      <c r="Z859" s="83"/>
    </row>
    <row r="860">
      <c r="T860" s="83"/>
      <c r="U860" s="83"/>
      <c r="V860" s="83"/>
      <c r="W860" s="83"/>
      <c r="X860" s="83"/>
      <c r="Y860" s="83"/>
      <c r="Z860" s="83"/>
    </row>
    <row r="861">
      <c r="T861" s="83"/>
      <c r="U861" s="83"/>
      <c r="V861" s="83"/>
      <c r="W861" s="83"/>
      <c r="X861" s="83"/>
      <c r="Y861" s="83"/>
      <c r="Z861" s="83"/>
    </row>
    <row r="862">
      <c r="T862" s="83"/>
      <c r="U862" s="83"/>
      <c r="V862" s="83"/>
      <c r="W862" s="83"/>
      <c r="X862" s="83"/>
      <c r="Y862" s="83"/>
      <c r="Z862" s="83"/>
    </row>
    <row r="863">
      <c r="T863" s="83"/>
      <c r="U863" s="83"/>
      <c r="V863" s="83"/>
      <c r="W863" s="83"/>
      <c r="X863" s="83"/>
      <c r="Y863" s="83"/>
      <c r="Z863" s="83"/>
    </row>
    <row r="864">
      <c r="T864" s="83"/>
      <c r="U864" s="83"/>
      <c r="V864" s="83"/>
      <c r="W864" s="83"/>
      <c r="X864" s="83"/>
      <c r="Y864" s="83"/>
      <c r="Z864" s="83"/>
    </row>
    <row r="865">
      <c r="T865" s="83"/>
      <c r="U865" s="83"/>
      <c r="V865" s="83"/>
      <c r="W865" s="83"/>
      <c r="X865" s="83"/>
      <c r="Y865" s="83"/>
      <c r="Z865" s="83"/>
    </row>
    <row r="866">
      <c r="T866" s="83"/>
      <c r="U866" s="83"/>
      <c r="V866" s="83"/>
      <c r="W866" s="83"/>
      <c r="X866" s="83"/>
      <c r="Y866" s="83"/>
      <c r="Z866" s="83"/>
    </row>
    <row r="867">
      <c r="T867" s="83"/>
      <c r="U867" s="83"/>
      <c r="V867" s="83"/>
      <c r="W867" s="83"/>
      <c r="X867" s="83"/>
      <c r="Y867" s="83"/>
      <c r="Z867" s="83"/>
    </row>
    <row r="868">
      <c r="T868" s="83"/>
      <c r="U868" s="83"/>
      <c r="V868" s="83"/>
      <c r="W868" s="83"/>
      <c r="X868" s="83"/>
      <c r="Y868" s="83"/>
      <c r="Z868" s="83"/>
    </row>
    <row r="869">
      <c r="T869" s="83"/>
      <c r="U869" s="83"/>
      <c r="V869" s="83"/>
      <c r="W869" s="83"/>
      <c r="X869" s="83"/>
      <c r="Y869" s="83"/>
      <c r="Z869" s="83"/>
    </row>
    <row r="870">
      <c r="T870" s="83"/>
      <c r="U870" s="83"/>
      <c r="V870" s="83"/>
      <c r="W870" s="83"/>
      <c r="X870" s="83"/>
      <c r="Y870" s="83"/>
      <c r="Z870" s="83"/>
    </row>
    <row r="871">
      <c r="T871" s="83"/>
      <c r="U871" s="83"/>
      <c r="V871" s="83"/>
      <c r="W871" s="83"/>
      <c r="X871" s="83"/>
      <c r="Y871" s="83"/>
      <c r="Z871" s="83"/>
    </row>
    <row r="872">
      <c r="T872" s="83"/>
      <c r="U872" s="83"/>
      <c r="V872" s="83"/>
      <c r="W872" s="83"/>
      <c r="X872" s="83"/>
      <c r="Y872" s="83"/>
      <c r="Z872" s="83"/>
    </row>
    <row r="873">
      <c r="T873" s="83"/>
      <c r="U873" s="83"/>
      <c r="V873" s="83"/>
      <c r="W873" s="83"/>
      <c r="X873" s="83"/>
      <c r="Y873" s="83"/>
      <c r="Z873" s="83"/>
    </row>
    <row r="874">
      <c r="T874" s="83"/>
      <c r="U874" s="83"/>
      <c r="V874" s="83"/>
      <c r="W874" s="83"/>
      <c r="X874" s="83"/>
      <c r="Y874" s="83"/>
      <c r="Z874" s="83"/>
    </row>
    <row r="875">
      <c r="T875" s="83"/>
      <c r="U875" s="83"/>
      <c r="V875" s="83"/>
      <c r="W875" s="83"/>
      <c r="X875" s="83"/>
      <c r="Y875" s="83"/>
      <c r="Z875" s="83"/>
    </row>
    <row r="876">
      <c r="T876" s="83"/>
      <c r="U876" s="83"/>
      <c r="V876" s="83"/>
      <c r="W876" s="83"/>
      <c r="X876" s="83"/>
      <c r="Y876" s="83"/>
      <c r="Z876" s="83"/>
    </row>
    <row r="877">
      <c r="T877" s="83"/>
      <c r="U877" s="83"/>
      <c r="V877" s="83"/>
      <c r="W877" s="83"/>
      <c r="X877" s="83"/>
      <c r="Y877" s="83"/>
      <c r="Z877" s="83"/>
    </row>
    <row r="878">
      <c r="T878" s="83"/>
      <c r="U878" s="83"/>
      <c r="V878" s="83"/>
      <c r="W878" s="83"/>
      <c r="X878" s="83"/>
      <c r="Y878" s="83"/>
      <c r="Z878" s="83"/>
    </row>
    <row r="879">
      <c r="T879" s="83"/>
      <c r="U879" s="83"/>
      <c r="V879" s="83"/>
      <c r="W879" s="83"/>
      <c r="X879" s="83"/>
      <c r="Y879" s="83"/>
      <c r="Z879" s="83"/>
    </row>
    <row r="880">
      <c r="T880" s="83"/>
      <c r="U880" s="83"/>
      <c r="V880" s="83"/>
      <c r="W880" s="83"/>
      <c r="X880" s="83"/>
      <c r="Y880" s="83"/>
      <c r="Z880" s="83"/>
    </row>
    <row r="881">
      <c r="T881" s="83"/>
      <c r="U881" s="83"/>
      <c r="V881" s="83"/>
      <c r="W881" s="83"/>
      <c r="X881" s="83"/>
      <c r="Y881" s="83"/>
      <c r="Z881" s="83"/>
    </row>
    <row r="882">
      <c r="T882" s="83"/>
      <c r="U882" s="83"/>
      <c r="V882" s="83"/>
      <c r="W882" s="83"/>
      <c r="X882" s="83"/>
      <c r="Y882" s="83"/>
      <c r="Z882" s="83"/>
    </row>
    <row r="883">
      <c r="T883" s="83"/>
      <c r="U883" s="83"/>
      <c r="V883" s="83"/>
      <c r="W883" s="83"/>
      <c r="X883" s="83"/>
      <c r="Y883" s="83"/>
      <c r="Z883" s="83"/>
    </row>
    <row r="884">
      <c r="T884" s="83"/>
      <c r="U884" s="83"/>
      <c r="V884" s="83"/>
      <c r="W884" s="83"/>
      <c r="X884" s="83"/>
      <c r="Y884" s="83"/>
      <c r="Z884" s="83"/>
    </row>
    <row r="885">
      <c r="T885" s="83"/>
      <c r="U885" s="83"/>
      <c r="V885" s="83"/>
      <c r="W885" s="83"/>
      <c r="X885" s="83"/>
      <c r="Y885" s="83"/>
      <c r="Z885" s="83"/>
    </row>
    <row r="886">
      <c r="T886" s="83"/>
      <c r="U886" s="83"/>
      <c r="V886" s="83"/>
      <c r="W886" s="83"/>
      <c r="X886" s="83"/>
      <c r="Y886" s="83"/>
      <c r="Z886" s="83"/>
    </row>
    <row r="887">
      <c r="T887" s="83"/>
      <c r="U887" s="83"/>
      <c r="V887" s="83"/>
      <c r="W887" s="83"/>
      <c r="X887" s="83"/>
      <c r="Y887" s="83"/>
      <c r="Z887" s="83"/>
    </row>
    <row r="888">
      <c r="T888" s="83"/>
      <c r="U888" s="83"/>
      <c r="V888" s="83"/>
      <c r="W888" s="83"/>
      <c r="X888" s="83"/>
      <c r="Y888" s="83"/>
      <c r="Z888" s="83"/>
    </row>
    <row r="889">
      <c r="T889" s="83"/>
      <c r="U889" s="83"/>
      <c r="V889" s="83"/>
      <c r="W889" s="83"/>
      <c r="X889" s="83"/>
      <c r="Y889" s="83"/>
      <c r="Z889" s="83"/>
    </row>
    <row r="890">
      <c r="T890" s="83"/>
      <c r="U890" s="83"/>
      <c r="V890" s="83"/>
      <c r="W890" s="83"/>
      <c r="X890" s="83"/>
      <c r="Y890" s="83"/>
      <c r="Z890" s="83"/>
    </row>
    <row r="891">
      <c r="T891" s="83"/>
      <c r="U891" s="83"/>
      <c r="V891" s="83"/>
      <c r="W891" s="83"/>
      <c r="X891" s="83"/>
      <c r="Y891" s="83"/>
      <c r="Z891" s="83"/>
    </row>
    <row r="892">
      <c r="T892" s="83"/>
      <c r="U892" s="83"/>
      <c r="V892" s="83"/>
      <c r="W892" s="83"/>
      <c r="X892" s="83"/>
      <c r="Y892" s="83"/>
      <c r="Z892" s="83"/>
    </row>
    <row r="893">
      <c r="T893" s="83"/>
      <c r="U893" s="83"/>
      <c r="V893" s="83"/>
      <c r="W893" s="83"/>
      <c r="X893" s="83"/>
      <c r="Y893" s="83"/>
      <c r="Z893" s="83"/>
    </row>
    <row r="894">
      <c r="T894" s="83"/>
      <c r="U894" s="83"/>
      <c r="V894" s="83"/>
      <c r="W894" s="83"/>
      <c r="X894" s="83"/>
      <c r="Y894" s="83"/>
      <c r="Z894" s="83"/>
    </row>
    <row r="895">
      <c r="T895" s="83"/>
      <c r="U895" s="83"/>
      <c r="V895" s="83"/>
      <c r="W895" s="83"/>
      <c r="X895" s="83"/>
      <c r="Y895" s="83"/>
      <c r="Z895" s="83"/>
    </row>
    <row r="896">
      <c r="T896" s="83"/>
      <c r="U896" s="83"/>
      <c r="V896" s="83"/>
      <c r="W896" s="83"/>
      <c r="X896" s="83"/>
      <c r="Y896" s="83"/>
      <c r="Z896" s="83"/>
    </row>
    <row r="897">
      <c r="T897" s="83"/>
      <c r="U897" s="83"/>
      <c r="V897" s="83"/>
      <c r="W897" s="83"/>
      <c r="X897" s="83"/>
      <c r="Y897" s="83"/>
      <c r="Z897" s="83"/>
    </row>
    <row r="898">
      <c r="T898" s="83"/>
      <c r="U898" s="83"/>
      <c r="V898" s="83"/>
      <c r="W898" s="83"/>
      <c r="X898" s="83"/>
      <c r="Y898" s="83"/>
      <c r="Z898" s="83"/>
    </row>
    <row r="899">
      <c r="T899" s="83"/>
      <c r="U899" s="83"/>
      <c r="V899" s="83"/>
      <c r="W899" s="83"/>
      <c r="X899" s="83"/>
      <c r="Y899" s="83"/>
      <c r="Z899" s="83"/>
    </row>
    <row r="900">
      <c r="T900" s="83"/>
      <c r="U900" s="83"/>
      <c r="V900" s="83"/>
      <c r="W900" s="83"/>
      <c r="X900" s="83"/>
      <c r="Y900" s="83"/>
      <c r="Z900" s="83"/>
    </row>
    <row r="901">
      <c r="T901" s="83"/>
      <c r="U901" s="83"/>
      <c r="V901" s="83"/>
      <c r="W901" s="83"/>
      <c r="X901" s="83"/>
      <c r="Y901" s="83"/>
      <c r="Z901" s="83"/>
    </row>
    <row r="902">
      <c r="T902" s="83"/>
      <c r="U902" s="83"/>
      <c r="V902" s="83"/>
      <c r="W902" s="83"/>
      <c r="X902" s="83"/>
      <c r="Y902" s="83"/>
      <c r="Z902" s="83"/>
    </row>
    <row r="903">
      <c r="T903" s="83"/>
      <c r="U903" s="83"/>
      <c r="V903" s="83"/>
      <c r="W903" s="83"/>
      <c r="X903" s="83"/>
      <c r="Y903" s="83"/>
      <c r="Z903" s="83"/>
    </row>
    <row r="904">
      <c r="T904" s="83"/>
      <c r="U904" s="83"/>
      <c r="V904" s="83"/>
      <c r="W904" s="83"/>
      <c r="X904" s="83"/>
      <c r="Y904" s="83"/>
      <c r="Z904" s="83"/>
    </row>
    <row r="905">
      <c r="T905" s="83"/>
      <c r="U905" s="83"/>
      <c r="V905" s="83"/>
      <c r="W905" s="83"/>
      <c r="X905" s="83"/>
      <c r="Y905" s="83"/>
      <c r="Z905" s="83"/>
    </row>
    <row r="906">
      <c r="T906" s="83"/>
      <c r="U906" s="83"/>
      <c r="V906" s="83"/>
      <c r="W906" s="83"/>
      <c r="X906" s="83"/>
      <c r="Y906" s="83"/>
      <c r="Z906" s="83"/>
    </row>
    <row r="907">
      <c r="T907" s="83"/>
      <c r="U907" s="83"/>
      <c r="V907" s="83"/>
      <c r="W907" s="83"/>
      <c r="X907" s="83"/>
      <c r="Y907" s="83"/>
      <c r="Z907" s="83"/>
    </row>
    <row r="908">
      <c r="T908" s="83"/>
      <c r="U908" s="83"/>
      <c r="V908" s="83"/>
      <c r="W908" s="83"/>
      <c r="X908" s="83"/>
      <c r="Y908" s="83"/>
      <c r="Z908" s="83"/>
    </row>
    <row r="909">
      <c r="T909" s="83"/>
      <c r="U909" s="83"/>
      <c r="V909" s="83"/>
      <c r="W909" s="83"/>
      <c r="X909" s="83"/>
      <c r="Y909" s="83"/>
      <c r="Z909" s="83"/>
    </row>
    <row r="910">
      <c r="T910" s="83"/>
      <c r="U910" s="83"/>
      <c r="V910" s="83"/>
      <c r="W910" s="83"/>
      <c r="X910" s="83"/>
      <c r="Y910" s="83"/>
      <c r="Z910" s="83"/>
    </row>
    <row r="911">
      <c r="T911" s="83"/>
      <c r="U911" s="83"/>
      <c r="V911" s="83"/>
      <c r="W911" s="83"/>
      <c r="X911" s="83"/>
      <c r="Y911" s="83"/>
      <c r="Z911" s="83"/>
    </row>
    <row r="912">
      <c r="T912" s="83"/>
      <c r="U912" s="83"/>
      <c r="V912" s="83"/>
      <c r="W912" s="83"/>
      <c r="X912" s="83"/>
      <c r="Y912" s="83"/>
      <c r="Z912" s="83"/>
    </row>
    <row r="913">
      <c r="T913" s="83"/>
      <c r="U913" s="83"/>
      <c r="V913" s="83"/>
      <c r="W913" s="83"/>
      <c r="X913" s="83"/>
      <c r="Y913" s="83"/>
      <c r="Z913" s="83"/>
    </row>
    <row r="914">
      <c r="T914" s="83"/>
      <c r="U914" s="83"/>
      <c r="V914" s="83"/>
      <c r="W914" s="83"/>
      <c r="X914" s="83"/>
      <c r="Y914" s="83"/>
      <c r="Z914" s="83"/>
    </row>
    <row r="915">
      <c r="T915" s="83"/>
      <c r="U915" s="83"/>
      <c r="V915" s="83"/>
      <c r="W915" s="83"/>
      <c r="X915" s="83"/>
      <c r="Y915" s="83"/>
      <c r="Z915" s="83"/>
    </row>
    <row r="916">
      <c r="T916" s="83"/>
      <c r="U916" s="83"/>
      <c r="V916" s="83"/>
      <c r="W916" s="83"/>
      <c r="X916" s="83"/>
      <c r="Y916" s="83"/>
      <c r="Z916" s="83"/>
    </row>
    <row r="917">
      <c r="T917" s="83"/>
      <c r="U917" s="83"/>
      <c r="V917" s="83"/>
      <c r="W917" s="83"/>
      <c r="X917" s="83"/>
      <c r="Y917" s="83"/>
      <c r="Z917" s="83"/>
    </row>
    <row r="918">
      <c r="T918" s="83"/>
      <c r="U918" s="83"/>
      <c r="V918" s="83"/>
      <c r="W918" s="83"/>
      <c r="X918" s="83"/>
      <c r="Y918" s="83"/>
      <c r="Z918" s="83"/>
    </row>
    <row r="919">
      <c r="T919" s="83"/>
      <c r="U919" s="83"/>
      <c r="V919" s="83"/>
      <c r="W919" s="83"/>
      <c r="X919" s="83"/>
      <c r="Y919" s="83"/>
      <c r="Z919" s="83"/>
    </row>
    <row r="920">
      <c r="T920" s="83"/>
      <c r="U920" s="83"/>
      <c r="V920" s="83"/>
      <c r="W920" s="83"/>
      <c r="X920" s="83"/>
      <c r="Y920" s="83"/>
      <c r="Z920" s="83"/>
    </row>
    <row r="921">
      <c r="T921" s="83"/>
      <c r="U921" s="83"/>
      <c r="V921" s="83"/>
      <c r="W921" s="83"/>
      <c r="X921" s="83"/>
      <c r="Y921" s="83"/>
      <c r="Z921" s="83"/>
    </row>
    <row r="922">
      <c r="T922" s="83"/>
      <c r="U922" s="83"/>
      <c r="V922" s="83"/>
      <c r="W922" s="83"/>
      <c r="X922" s="83"/>
      <c r="Y922" s="83"/>
      <c r="Z922" s="83"/>
    </row>
    <row r="923">
      <c r="T923" s="83"/>
      <c r="U923" s="83"/>
      <c r="V923" s="83"/>
      <c r="W923" s="83"/>
      <c r="X923" s="83"/>
      <c r="Y923" s="83"/>
      <c r="Z923" s="83"/>
    </row>
    <row r="924">
      <c r="T924" s="83"/>
      <c r="U924" s="83"/>
      <c r="V924" s="83"/>
      <c r="W924" s="83"/>
      <c r="X924" s="83"/>
      <c r="Y924" s="83"/>
      <c r="Z924" s="83"/>
    </row>
    <row r="925">
      <c r="T925" s="83"/>
      <c r="U925" s="83"/>
      <c r="V925" s="83"/>
      <c r="W925" s="83"/>
      <c r="X925" s="83"/>
      <c r="Y925" s="83"/>
      <c r="Z925" s="83"/>
    </row>
    <row r="926">
      <c r="T926" s="83"/>
      <c r="U926" s="83"/>
      <c r="V926" s="83"/>
      <c r="W926" s="83"/>
      <c r="X926" s="83"/>
      <c r="Y926" s="83"/>
      <c r="Z926" s="83"/>
    </row>
    <row r="927">
      <c r="T927" s="83"/>
      <c r="U927" s="83"/>
      <c r="V927" s="83"/>
      <c r="W927" s="83"/>
      <c r="X927" s="83"/>
      <c r="Y927" s="83"/>
      <c r="Z927" s="83"/>
    </row>
    <row r="928">
      <c r="T928" s="83"/>
      <c r="U928" s="83"/>
      <c r="V928" s="83"/>
      <c r="W928" s="83"/>
      <c r="X928" s="83"/>
      <c r="Y928" s="83"/>
      <c r="Z928" s="83"/>
    </row>
    <row r="929">
      <c r="T929" s="83"/>
      <c r="U929" s="83"/>
      <c r="V929" s="83"/>
      <c r="W929" s="83"/>
      <c r="X929" s="83"/>
      <c r="Y929" s="83"/>
      <c r="Z929" s="83"/>
    </row>
    <row r="930">
      <c r="T930" s="83"/>
      <c r="U930" s="83"/>
      <c r="V930" s="83"/>
      <c r="W930" s="83"/>
      <c r="X930" s="83"/>
      <c r="Y930" s="83"/>
      <c r="Z930" s="83"/>
    </row>
    <row r="931">
      <c r="T931" s="83"/>
      <c r="U931" s="83"/>
      <c r="V931" s="83"/>
      <c r="W931" s="83"/>
      <c r="X931" s="83"/>
      <c r="Y931" s="83"/>
      <c r="Z931" s="83"/>
    </row>
    <row r="932">
      <c r="T932" s="83"/>
      <c r="U932" s="83"/>
      <c r="V932" s="83"/>
      <c r="W932" s="83"/>
      <c r="X932" s="83"/>
      <c r="Y932" s="83"/>
      <c r="Z932" s="83"/>
    </row>
    <row r="933">
      <c r="T933" s="83"/>
      <c r="U933" s="83"/>
      <c r="V933" s="83"/>
      <c r="W933" s="83"/>
      <c r="X933" s="83"/>
      <c r="Y933" s="83"/>
      <c r="Z933" s="83"/>
    </row>
    <row r="934">
      <c r="T934" s="83"/>
      <c r="U934" s="83"/>
      <c r="V934" s="83"/>
      <c r="W934" s="83"/>
      <c r="X934" s="83"/>
      <c r="Y934" s="83"/>
      <c r="Z934" s="83"/>
    </row>
    <row r="935">
      <c r="T935" s="83"/>
      <c r="U935" s="83"/>
      <c r="V935" s="83"/>
      <c r="W935" s="83"/>
      <c r="X935" s="83"/>
      <c r="Y935" s="83"/>
      <c r="Z935" s="83"/>
    </row>
    <row r="936">
      <c r="T936" s="83"/>
      <c r="U936" s="83"/>
      <c r="V936" s="83"/>
      <c r="W936" s="83"/>
      <c r="X936" s="83"/>
      <c r="Y936" s="83"/>
      <c r="Z936" s="83"/>
    </row>
    <row r="937">
      <c r="T937" s="83"/>
      <c r="U937" s="83"/>
      <c r="V937" s="83"/>
      <c r="W937" s="83"/>
      <c r="X937" s="83"/>
      <c r="Y937" s="83"/>
      <c r="Z937" s="83"/>
    </row>
    <row r="938">
      <c r="T938" s="83"/>
      <c r="U938" s="83"/>
      <c r="V938" s="83"/>
      <c r="W938" s="83"/>
      <c r="X938" s="83"/>
      <c r="Y938" s="83"/>
      <c r="Z938" s="83"/>
    </row>
    <row r="939">
      <c r="T939" s="83"/>
      <c r="U939" s="83"/>
      <c r="V939" s="83"/>
      <c r="W939" s="83"/>
      <c r="X939" s="83"/>
      <c r="Y939" s="83"/>
      <c r="Z939" s="83"/>
    </row>
    <row r="940">
      <c r="T940" s="83"/>
      <c r="U940" s="83"/>
      <c r="V940" s="83"/>
      <c r="W940" s="83"/>
      <c r="X940" s="83"/>
      <c r="Y940" s="83"/>
      <c r="Z940" s="83"/>
    </row>
    <row r="941">
      <c r="T941" s="83"/>
      <c r="U941" s="83"/>
      <c r="V941" s="83"/>
      <c r="W941" s="83"/>
      <c r="X941" s="83"/>
      <c r="Y941" s="83"/>
      <c r="Z941" s="83"/>
    </row>
    <row r="942">
      <c r="T942" s="83"/>
      <c r="U942" s="83"/>
      <c r="V942" s="83"/>
      <c r="W942" s="83"/>
      <c r="X942" s="83"/>
      <c r="Y942" s="83"/>
      <c r="Z942" s="83"/>
    </row>
    <row r="943">
      <c r="T943" s="83"/>
      <c r="U943" s="83"/>
      <c r="V943" s="83"/>
      <c r="W943" s="83"/>
      <c r="X943" s="83"/>
      <c r="Y943" s="83"/>
      <c r="Z943" s="83"/>
    </row>
    <row r="944">
      <c r="T944" s="83"/>
      <c r="U944" s="83"/>
      <c r="V944" s="83"/>
      <c r="W944" s="83"/>
      <c r="X944" s="83"/>
      <c r="Y944" s="83"/>
      <c r="Z944" s="83"/>
    </row>
    <row r="945">
      <c r="T945" s="83"/>
      <c r="U945" s="83"/>
      <c r="V945" s="83"/>
      <c r="W945" s="83"/>
      <c r="X945" s="83"/>
      <c r="Y945" s="83"/>
      <c r="Z945" s="83"/>
    </row>
    <row r="946">
      <c r="T946" s="83"/>
      <c r="U946" s="83"/>
      <c r="V946" s="83"/>
      <c r="W946" s="83"/>
      <c r="X946" s="83"/>
      <c r="Y946" s="83"/>
      <c r="Z946" s="83"/>
    </row>
    <row r="947">
      <c r="T947" s="83"/>
      <c r="U947" s="83"/>
      <c r="V947" s="83"/>
      <c r="W947" s="83"/>
      <c r="X947" s="83"/>
      <c r="Y947" s="83"/>
      <c r="Z947" s="83"/>
    </row>
    <row r="948">
      <c r="T948" s="83"/>
      <c r="U948" s="83"/>
      <c r="V948" s="83"/>
      <c r="W948" s="83"/>
      <c r="X948" s="83"/>
      <c r="Y948" s="83"/>
      <c r="Z948" s="83"/>
    </row>
    <row r="949">
      <c r="T949" s="83"/>
      <c r="U949" s="83"/>
      <c r="V949" s="83"/>
      <c r="W949" s="83"/>
      <c r="X949" s="83"/>
      <c r="Y949" s="83"/>
      <c r="Z949" s="83"/>
    </row>
    <row r="950">
      <c r="T950" s="83"/>
      <c r="U950" s="83"/>
      <c r="V950" s="83"/>
      <c r="W950" s="83"/>
      <c r="X950" s="83"/>
      <c r="Y950" s="83"/>
      <c r="Z950" s="83"/>
    </row>
    <row r="951">
      <c r="T951" s="83"/>
      <c r="U951" s="83"/>
      <c r="V951" s="83"/>
      <c r="W951" s="83"/>
      <c r="X951" s="83"/>
      <c r="Y951" s="83"/>
      <c r="Z951" s="83"/>
    </row>
    <row r="952">
      <c r="T952" s="83"/>
      <c r="U952" s="83"/>
      <c r="V952" s="83"/>
      <c r="W952" s="83"/>
      <c r="X952" s="83"/>
      <c r="Y952" s="83"/>
      <c r="Z952" s="83"/>
    </row>
    <row r="953">
      <c r="T953" s="83"/>
      <c r="U953" s="83"/>
      <c r="V953" s="83"/>
      <c r="W953" s="83"/>
      <c r="X953" s="83"/>
      <c r="Y953" s="83"/>
      <c r="Z953" s="83"/>
    </row>
    <row r="954">
      <c r="T954" s="83"/>
      <c r="U954" s="83"/>
      <c r="V954" s="83"/>
      <c r="W954" s="83"/>
      <c r="X954" s="83"/>
      <c r="Y954" s="83"/>
      <c r="Z954" s="83"/>
    </row>
    <row r="955">
      <c r="T955" s="83"/>
      <c r="U955" s="83"/>
      <c r="V955" s="83"/>
      <c r="W955" s="83"/>
      <c r="X955" s="83"/>
      <c r="Y955" s="83"/>
      <c r="Z955" s="83"/>
    </row>
    <row r="956">
      <c r="T956" s="83"/>
      <c r="U956" s="83"/>
      <c r="V956" s="83"/>
      <c r="W956" s="83"/>
      <c r="X956" s="83"/>
      <c r="Y956" s="83"/>
      <c r="Z956" s="83"/>
    </row>
    <row r="957">
      <c r="T957" s="83"/>
      <c r="U957" s="83"/>
      <c r="V957" s="83"/>
      <c r="W957" s="83"/>
      <c r="X957" s="83"/>
      <c r="Y957" s="83"/>
      <c r="Z957" s="83"/>
    </row>
    <row r="958">
      <c r="T958" s="83"/>
      <c r="U958" s="83"/>
      <c r="V958" s="83"/>
      <c r="W958" s="83"/>
      <c r="X958" s="83"/>
      <c r="Y958" s="83"/>
      <c r="Z958" s="83"/>
    </row>
    <row r="959">
      <c r="T959" s="83"/>
      <c r="U959" s="83"/>
      <c r="V959" s="83"/>
      <c r="W959" s="83"/>
      <c r="X959" s="83"/>
      <c r="Y959" s="83"/>
      <c r="Z959" s="83"/>
    </row>
    <row r="960">
      <c r="T960" s="83"/>
      <c r="U960" s="83"/>
      <c r="V960" s="83"/>
      <c r="W960" s="83"/>
      <c r="X960" s="83"/>
      <c r="Y960" s="83"/>
      <c r="Z960" s="83"/>
    </row>
    <row r="961">
      <c r="T961" s="83"/>
      <c r="U961" s="83"/>
      <c r="V961" s="83"/>
      <c r="W961" s="83"/>
      <c r="X961" s="83"/>
      <c r="Y961" s="83"/>
      <c r="Z961" s="83"/>
    </row>
    <row r="962">
      <c r="T962" s="83"/>
      <c r="U962" s="83"/>
      <c r="V962" s="83"/>
      <c r="W962" s="83"/>
      <c r="X962" s="83"/>
      <c r="Y962" s="83"/>
      <c r="Z962" s="83"/>
    </row>
    <row r="963">
      <c r="T963" s="83"/>
      <c r="U963" s="83"/>
      <c r="V963" s="83"/>
      <c r="W963" s="83"/>
      <c r="X963" s="83"/>
      <c r="Y963" s="83"/>
      <c r="Z963" s="83"/>
    </row>
    <row r="964">
      <c r="T964" s="83"/>
      <c r="U964" s="83"/>
      <c r="V964" s="83"/>
      <c r="W964" s="83"/>
      <c r="X964" s="83"/>
      <c r="Y964" s="83"/>
      <c r="Z964" s="83"/>
    </row>
    <row r="965">
      <c r="T965" s="83"/>
      <c r="U965" s="83"/>
      <c r="V965" s="83"/>
      <c r="W965" s="83"/>
      <c r="X965" s="83"/>
      <c r="Y965" s="83"/>
      <c r="Z965" s="83"/>
    </row>
    <row r="966">
      <c r="T966" s="83"/>
      <c r="U966" s="83"/>
      <c r="V966" s="83"/>
      <c r="W966" s="83"/>
      <c r="X966" s="83"/>
      <c r="Y966" s="83"/>
      <c r="Z966" s="83"/>
    </row>
    <row r="967">
      <c r="T967" s="83"/>
      <c r="U967" s="83"/>
      <c r="V967" s="83"/>
      <c r="W967" s="83"/>
      <c r="X967" s="83"/>
      <c r="Y967" s="83"/>
      <c r="Z967" s="83"/>
    </row>
    <row r="968">
      <c r="T968" s="83"/>
      <c r="U968" s="83"/>
      <c r="V968" s="83"/>
      <c r="W968" s="83"/>
      <c r="X968" s="83"/>
      <c r="Y968" s="83"/>
      <c r="Z968" s="83"/>
    </row>
    <row r="969">
      <c r="T969" s="83"/>
      <c r="U969" s="83"/>
      <c r="V969" s="83"/>
      <c r="W969" s="83"/>
      <c r="X969" s="83"/>
      <c r="Y969" s="83"/>
      <c r="Z969" s="83"/>
    </row>
    <row r="970">
      <c r="T970" s="83"/>
      <c r="U970" s="83"/>
      <c r="V970" s="83"/>
      <c r="W970" s="83"/>
      <c r="X970" s="83"/>
      <c r="Y970" s="83"/>
      <c r="Z970" s="83"/>
    </row>
    <row r="971">
      <c r="T971" s="83"/>
      <c r="U971" s="83"/>
      <c r="V971" s="83"/>
      <c r="W971" s="83"/>
      <c r="X971" s="83"/>
      <c r="Y971" s="83"/>
      <c r="Z971" s="83"/>
    </row>
    <row r="972">
      <c r="T972" s="83"/>
      <c r="U972" s="83"/>
      <c r="V972" s="83"/>
      <c r="W972" s="83"/>
      <c r="X972" s="83"/>
      <c r="Y972" s="83"/>
      <c r="Z972" s="83"/>
    </row>
    <row r="973">
      <c r="T973" s="83"/>
      <c r="U973" s="83"/>
      <c r="V973" s="83"/>
      <c r="W973" s="83"/>
      <c r="X973" s="83"/>
      <c r="Y973" s="83"/>
      <c r="Z973" s="83"/>
    </row>
    <row r="974">
      <c r="T974" s="83"/>
      <c r="U974" s="83"/>
      <c r="V974" s="83"/>
      <c r="W974" s="83"/>
      <c r="X974" s="83"/>
      <c r="Y974" s="83"/>
      <c r="Z974" s="83"/>
    </row>
    <row r="975">
      <c r="T975" s="83"/>
      <c r="U975" s="83"/>
      <c r="V975" s="83"/>
      <c r="W975" s="83"/>
      <c r="X975" s="83"/>
      <c r="Y975" s="83"/>
      <c r="Z975" s="83"/>
    </row>
    <row r="976">
      <c r="T976" s="83"/>
      <c r="U976" s="83"/>
      <c r="V976" s="83"/>
      <c r="W976" s="83"/>
      <c r="X976" s="83"/>
      <c r="Y976" s="83"/>
      <c r="Z976" s="83"/>
    </row>
    <row r="977">
      <c r="T977" s="83"/>
      <c r="U977" s="83"/>
      <c r="V977" s="83"/>
      <c r="W977" s="83"/>
      <c r="X977" s="83"/>
      <c r="Y977" s="83"/>
      <c r="Z977" s="83"/>
    </row>
    <row r="978">
      <c r="T978" s="83"/>
      <c r="U978" s="83"/>
      <c r="V978" s="83"/>
      <c r="W978" s="83"/>
      <c r="X978" s="83"/>
      <c r="Y978" s="83"/>
      <c r="Z978" s="83"/>
    </row>
    <row r="979">
      <c r="T979" s="83"/>
      <c r="U979" s="83"/>
      <c r="V979" s="83"/>
      <c r="W979" s="83"/>
      <c r="X979" s="83"/>
      <c r="Y979" s="83"/>
      <c r="Z979" s="83"/>
    </row>
    <row r="980">
      <c r="T980" s="83"/>
      <c r="U980" s="83"/>
      <c r="V980" s="83"/>
      <c r="W980" s="83"/>
      <c r="X980" s="83"/>
      <c r="Y980" s="83"/>
      <c r="Z980" s="83"/>
    </row>
    <row r="981">
      <c r="T981" s="83"/>
      <c r="U981" s="83"/>
      <c r="V981" s="83"/>
      <c r="W981" s="83"/>
      <c r="X981" s="83"/>
      <c r="Y981" s="83"/>
      <c r="Z981" s="83"/>
    </row>
    <row r="982">
      <c r="T982" s="83"/>
      <c r="U982" s="83"/>
      <c r="V982" s="83"/>
      <c r="W982" s="83"/>
      <c r="X982" s="83"/>
      <c r="Y982" s="83"/>
      <c r="Z982" s="83"/>
    </row>
    <row r="983">
      <c r="T983" s="83"/>
      <c r="U983" s="83"/>
      <c r="V983" s="83"/>
      <c r="W983" s="83"/>
      <c r="X983" s="83"/>
      <c r="Y983" s="83"/>
      <c r="Z983" s="83"/>
    </row>
    <row r="984">
      <c r="T984" s="83"/>
      <c r="U984" s="83"/>
      <c r="V984" s="83"/>
      <c r="W984" s="83"/>
      <c r="X984" s="83"/>
      <c r="Y984" s="83"/>
      <c r="Z984" s="83"/>
    </row>
    <row r="985">
      <c r="T985" s="83"/>
      <c r="U985" s="83"/>
      <c r="V985" s="83"/>
      <c r="W985" s="83"/>
      <c r="X985" s="83"/>
      <c r="Y985" s="83"/>
      <c r="Z985" s="83"/>
    </row>
    <row r="986">
      <c r="T986" s="83"/>
      <c r="U986" s="83"/>
      <c r="V986" s="83"/>
      <c r="W986" s="83"/>
      <c r="X986" s="83"/>
      <c r="Y986" s="83"/>
      <c r="Z986" s="83"/>
    </row>
    <row r="987">
      <c r="T987" s="83"/>
      <c r="U987" s="83"/>
      <c r="V987" s="83"/>
      <c r="W987" s="83"/>
      <c r="X987" s="83"/>
      <c r="Y987" s="83"/>
      <c r="Z987" s="83"/>
    </row>
    <row r="988">
      <c r="T988" s="83"/>
      <c r="U988" s="83"/>
      <c r="V988" s="83"/>
      <c r="W988" s="83"/>
      <c r="X988" s="83"/>
      <c r="Y988" s="83"/>
      <c r="Z988" s="83"/>
    </row>
    <row r="989">
      <c r="T989" s="83"/>
      <c r="U989" s="83"/>
      <c r="V989" s="83"/>
      <c r="W989" s="83"/>
      <c r="X989" s="83"/>
      <c r="Y989" s="83"/>
      <c r="Z989" s="83"/>
    </row>
    <row r="990">
      <c r="T990" s="83"/>
      <c r="U990" s="83"/>
      <c r="V990" s="83"/>
      <c r="W990" s="83"/>
      <c r="X990" s="83"/>
      <c r="Y990" s="83"/>
      <c r="Z990" s="83"/>
    </row>
  </sheetData>
  <mergeCells count="4">
    <mergeCell ref="T1:Z1"/>
    <mergeCell ref="B2:O2"/>
    <mergeCell ref="B32:I32"/>
    <mergeCell ref="B38:I38"/>
  </mergeCells>
  <conditionalFormatting sqref="U3:U14">
    <cfRule type="colorScale" priority="1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V3:V14">
    <cfRule type="colorScale" priority="2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W3:W14">
    <cfRule type="colorScale" priority="3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X3:X14">
    <cfRule type="colorScale" priority="4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Y3:Y14">
    <cfRule type="colorScale" priority="5">
      <colorScale>
        <cfvo type="min"/>
        <cfvo type="percentile" val="50"/>
        <cfvo type="max"/>
        <color rgb="FFFFFFFF"/>
        <color rgb="FF00FFFF"/>
        <color rgb="FF46BDC6"/>
      </colorScale>
    </cfRule>
  </conditionalFormatting>
  <conditionalFormatting sqref="Z3:Z14">
    <cfRule type="colorScale" priority="6">
      <colorScale>
        <cfvo type="min"/>
        <cfvo type="percentile" val="50"/>
        <cfvo type="max"/>
        <color rgb="FFFFFFFF"/>
        <color rgb="FF00FFFF"/>
        <color rgb="FF46BDC6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</row>
    <row r="2">
      <c r="A2" s="8" t="s">
        <v>3</v>
      </c>
      <c r="B2" s="10" t="s">
        <v>4</v>
      </c>
      <c r="C2" s="10" t="s">
        <v>6</v>
      </c>
      <c r="D2" s="10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8" t="s">
        <v>17</v>
      </c>
    </row>
    <row r="3">
      <c r="A3" s="14" t="s">
        <v>18</v>
      </c>
      <c r="B3" s="24">
        <f t="shared" ref="B3:C3" si="1">SUM(B4:B5)</f>
        <v>771</v>
      </c>
      <c r="C3" s="24">
        <f t="shared" si="1"/>
        <v>602</v>
      </c>
      <c r="D3" s="24">
        <f>D4+D5</f>
        <v>1800</v>
      </c>
      <c r="E3" s="27">
        <v>746.0</v>
      </c>
      <c r="F3" s="27">
        <v>919.0</v>
      </c>
      <c r="G3" s="27">
        <v>2330.0</v>
      </c>
      <c r="H3" s="27"/>
      <c r="I3" s="27"/>
      <c r="J3" s="27"/>
      <c r="K3" s="27"/>
      <c r="L3" s="27"/>
      <c r="M3" s="27"/>
      <c r="N3" s="33">
        <f>SUM(N4:N5)</f>
        <v>7168</v>
      </c>
    </row>
    <row r="4">
      <c r="A4" s="14" t="s">
        <v>26</v>
      </c>
      <c r="B4" s="35">
        <v>186.0</v>
      </c>
      <c r="C4" s="35">
        <v>130.0</v>
      </c>
      <c r="D4" s="35">
        <v>1034.0</v>
      </c>
      <c r="E4" s="37">
        <v>181.0</v>
      </c>
      <c r="F4" s="27">
        <v>236.0</v>
      </c>
      <c r="G4" s="27">
        <v>682.0</v>
      </c>
      <c r="H4" s="27"/>
      <c r="I4" s="27"/>
      <c r="J4" s="27"/>
      <c r="K4" s="27"/>
      <c r="L4" s="27"/>
      <c r="M4" s="27"/>
      <c r="N4" s="33">
        <f t="shared" ref="N4:N6" si="2">SUM(B4:M4)</f>
        <v>2449</v>
      </c>
    </row>
    <row r="5">
      <c r="A5" s="14" t="s">
        <v>27</v>
      </c>
      <c r="B5" s="35">
        <v>585.0</v>
      </c>
      <c r="C5" s="35">
        <v>472.0</v>
      </c>
      <c r="D5" s="35">
        <v>766.0</v>
      </c>
      <c r="E5" s="37">
        <v>565.0</v>
      </c>
      <c r="F5" s="27">
        <v>683.0</v>
      </c>
      <c r="G5" s="27">
        <v>1648.0</v>
      </c>
      <c r="H5" s="27"/>
      <c r="I5" s="27"/>
      <c r="J5" s="27"/>
      <c r="K5" s="27"/>
      <c r="L5" s="27"/>
      <c r="M5" s="27"/>
      <c r="N5" s="33">
        <f t="shared" si="2"/>
        <v>4719</v>
      </c>
    </row>
    <row r="6">
      <c r="A6" s="41" t="s">
        <v>28</v>
      </c>
      <c r="B6" s="35">
        <v>117.0</v>
      </c>
      <c r="C6" s="35">
        <v>104.0</v>
      </c>
      <c r="D6" s="35">
        <v>1191.0</v>
      </c>
      <c r="E6" s="43">
        <v>390.0</v>
      </c>
      <c r="F6" s="43">
        <v>263.0</v>
      </c>
      <c r="G6" s="43">
        <v>2669.0</v>
      </c>
      <c r="H6" s="43"/>
      <c r="I6" s="43"/>
      <c r="J6" s="43"/>
      <c r="K6" s="27"/>
      <c r="L6" s="27"/>
      <c r="M6" s="43"/>
      <c r="N6" s="33">
        <f t="shared" si="2"/>
        <v>4734</v>
      </c>
    </row>
    <row r="7">
      <c r="A7" s="28" t="s">
        <v>29</v>
      </c>
      <c r="B7" s="45">
        <v>1959.0</v>
      </c>
      <c r="C7" s="47">
        <v>1902.0</v>
      </c>
      <c r="D7" s="47">
        <v>1851.0</v>
      </c>
      <c r="E7" s="27">
        <v>1802.0</v>
      </c>
      <c r="H7" s="53"/>
      <c r="I7" s="53"/>
      <c r="J7" s="53"/>
      <c r="K7" s="55"/>
      <c r="L7" s="55"/>
      <c r="M7" s="53"/>
      <c r="N7" s="33">
        <v>2284.0</v>
      </c>
    </row>
    <row r="8">
      <c r="A8" s="28" t="s">
        <v>31</v>
      </c>
      <c r="B8" s="35">
        <v>265.0</v>
      </c>
      <c r="C8" s="35">
        <v>721.0</v>
      </c>
      <c r="D8" s="35">
        <v>851.0</v>
      </c>
      <c r="E8" s="27">
        <v>355.0</v>
      </c>
      <c r="F8" s="27">
        <v>3600.0</v>
      </c>
      <c r="G8" s="27">
        <v>12000.0</v>
      </c>
      <c r="H8" s="27"/>
      <c r="I8" s="27"/>
      <c r="J8" s="27"/>
      <c r="K8" s="27"/>
      <c r="L8" s="27"/>
      <c r="M8" s="27"/>
      <c r="N8" s="33">
        <f t="shared" ref="N8:N10" si="3">SUM(B8:M8)</f>
        <v>17792</v>
      </c>
    </row>
    <row r="9">
      <c r="A9" s="59" t="s">
        <v>34</v>
      </c>
      <c r="B9" s="61">
        <v>295.54</v>
      </c>
      <c r="C9" s="35">
        <v>231.2</v>
      </c>
      <c r="D9" s="35">
        <v>891.2</v>
      </c>
      <c r="E9" s="63">
        <v>335.45</v>
      </c>
      <c r="F9" s="27">
        <v>476.42</v>
      </c>
      <c r="G9" s="27">
        <v>527.69</v>
      </c>
      <c r="H9" s="27"/>
      <c r="I9" s="27"/>
      <c r="J9" s="27"/>
      <c r="K9" s="27"/>
      <c r="L9" s="27"/>
      <c r="M9" s="27"/>
      <c r="N9" s="33">
        <f t="shared" si="3"/>
        <v>2757.5</v>
      </c>
    </row>
    <row r="10">
      <c r="A10" s="64" t="s">
        <v>44</v>
      </c>
      <c r="B10" s="24">
        <v>352.2</v>
      </c>
      <c r="C10" s="24">
        <v>148.0</v>
      </c>
      <c r="D10" s="24">
        <v>631.0</v>
      </c>
      <c r="E10" s="67">
        <v>320.25</v>
      </c>
      <c r="F10" s="27">
        <v>278.0</v>
      </c>
      <c r="G10" s="69"/>
      <c r="H10" s="69"/>
      <c r="I10" s="69"/>
      <c r="J10" s="69"/>
      <c r="K10" s="69"/>
      <c r="L10" s="69"/>
      <c r="M10" s="69"/>
      <c r="N10" s="33">
        <f t="shared" si="3"/>
        <v>1729.45</v>
      </c>
    </row>
  </sheetData>
  <mergeCells count="1">
    <mergeCell ref="A1:N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5" max="5" width="24.13"/>
  </cols>
  <sheetData>
    <row r="1">
      <c r="A1" s="88" t="s">
        <v>72</v>
      </c>
      <c r="B1" s="6"/>
      <c r="D1" s="88" t="s">
        <v>73</v>
      </c>
      <c r="E1" s="6"/>
      <c r="G1" s="88" t="s">
        <v>74</v>
      </c>
      <c r="H1" s="6"/>
      <c r="K1" s="88" t="s">
        <v>75</v>
      </c>
      <c r="L1" s="6"/>
      <c r="O1" s="88" t="s">
        <v>76</v>
      </c>
      <c r="P1" s="6"/>
      <c r="R1" s="88" t="s">
        <v>77</v>
      </c>
      <c r="S1" s="6"/>
    </row>
    <row r="2">
      <c r="A2" s="1">
        <v>2025.0</v>
      </c>
      <c r="B2" s="109">
        <v>6036.0</v>
      </c>
      <c r="D2" s="1">
        <v>2025.0</v>
      </c>
      <c r="E2" s="139">
        <v>4365.0</v>
      </c>
      <c r="G2" s="1">
        <v>2025.0</v>
      </c>
      <c r="H2" s="139">
        <v>1671.0</v>
      </c>
      <c r="K2" s="1">
        <v>2025.0</v>
      </c>
      <c r="L2" s="139">
        <v>3200.0</v>
      </c>
      <c r="O2" s="1">
        <v>2025.0</v>
      </c>
      <c r="P2" s="139">
        <v>16428.0</v>
      </c>
      <c r="R2" s="1">
        <v>2025.0</v>
      </c>
      <c r="S2" s="139">
        <v>1443.0</v>
      </c>
    </row>
    <row r="3">
      <c r="A3" s="1">
        <v>2026.0</v>
      </c>
      <c r="B3" s="109">
        <v>7168.0</v>
      </c>
      <c r="D3" s="1">
        <v>2026.0</v>
      </c>
      <c r="E3" s="139">
        <v>4719.0</v>
      </c>
      <c r="G3" s="1">
        <v>2026.0</v>
      </c>
      <c r="H3" s="139">
        <v>2449.0</v>
      </c>
      <c r="K3" s="1">
        <v>2026.0</v>
      </c>
      <c r="L3" s="139">
        <v>4734.0</v>
      </c>
      <c r="O3" s="1">
        <v>2026.0</v>
      </c>
      <c r="P3" s="139">
        <v>17792.0</v>
      </c>
      <c r="R3" s="1">
        <v>2026.0</v>
      </c>
      <c r="S3" s="139">
        <v>2757.5</v>
      </c>
    </row>
    <row r="4">
      <c r="B4" s="95">
        <f>(B3-B2)/B2*100%</f>
        <v>0.1875414182</v>
      </c>
      <c r="E4" s="95">
        <f>(E3-E2)/E2*100%</f>
        <v>0.08109965636</v>
      </c>
      <c r="H4" s="95">
        <f>(H3-H2)/H2*100%</f>
        <v>0.4655894674</v>
      </c>
      <c r="L4" s="95">
        <f>(L3-L2)/L2*100%</f>
        <v>0.479375</v>
      </c>
      <c r="P4" s="95">
        <f>(P3-P2)/P2*100%</f>
        <v>0.08302897492</v>
      </c>
      <c r="S4" s="95">
        <f>(S3-S2)/S2*100%</f>
        <v>0.9109494109</v>
      </c>
    </row>
    <row r="11">
      <c r="V11" s="149"/>
    </row>
    <row r="21">
      <c r="A21" s="150">
        <v>2026.0</v>
      </c>
      <c r="B21" s="4"/>
      <c r="C21" s="4"/>
      <c r="D21" s="4"/>
      <c r="E21" s="4"/>
      <c r="F21" s="4"/>
      <c r="G21" s="6"/>
    </row>
    <row r="22">
      <c r="A22" s="8" t="s">
        <v>3</v>
      </c>
      <c r="B22" s="10" t="s">
        <v>4</v>
      </c>
      <c r="C22" s="10" t="s">
        <v>6</v>
      </c>
      <c r="D22" s="10" t="s">
        <v>7</v>
      </c>
      <c r="E22" s="8" t="s">
        <v>8</v>
      </c>
      <c r="F22" s="8" t="s">
        <v>9</v>
      </c>
      <c r="G22" s="8" t="s">
        <v>10</v>
      </c>
      <c r="H22" s="8" t="s">
        <v>17</v>
      </c>
    </row>
    <row r="23">
      <c r="A23" s="14" t="s">
        <v>18</v>
      </c>
      <c r="B23" s="24">
        <f t="shared" ref="B23:C23" si="1">SUM(B24:B25)</f>
        <v>771</v>
      </c>
      <c r="C23" s="24">
        <f t="shared" si="1"/>
        <v>602</v>
      </c>
      <c r="D23" s="24">
        <f>D24+D25</f>
        <v>1800</v>
      </c>
      <c r="E23" s="27">
        <v>746.0</v>
      </c>
      <c r="F23" s="27">
        <v>919.0</v>
      </c>
      <c r="G23" s="27">
        <v>2330.0</v>
      </c>
      <c r="H23" s="151">
        <f t="shared" ref="H23:H30" si="2">SUM(B23:G23)</f>
        <v>7168</v>
      </c>
      <c r="I23" s="152"/>
    </row>
    <row r="24">
      <c r="A24" s="14" t="s">
        <v>26</v>
      </c>
      <c r="B24" s="35">
        <v>186.0</v>
      </c>
      <c r="C24" s="35">
        <v>130.0</v>
      </c>
      <c r="D24" s="35">
        <v>1034.0</v>
      </c>
      <c r="E24" s="37">
        <v>181.0</v>
      </c>
      <c r="F24" s="27">
        <v>236.0</v>
      </c>
      <c r="G24" s="27">
        <v>682.0</v>
      </c>
      <c r="H24" s="151">
        <f t="shared" si="2"/>
        <v>2449</v>
      </c>
    </row>
    <row r="25">
      <c r="A25" s="14" t="s">
        <v>27</v>
      </c>
      <c r="B25" s="35">
        <v>585.0</v>
      </c>
      <c r="C25" s="35">
        <v>472.0</v>
      </c>
      <c r="D25" s="35">
        <v>766.0</v>
      </c>
      <c r="E25" s="37">
        <v>565.0</v>
      </c>
      <c r="F25" s="27">
        <v>683.0</v>
      </c>
      <c r="G25" s="27">
        <v>1648.0</v>
      </c>
      <c r="H25" s="151">
        <f t="shared" si="2"/>
        <v>4719</v>
      </c>
    </row>
    <row r="26">
      <c r="A26" s="41" t="s">
        <v>28</v>
      </c>
      <c r="B26" s="35">
        <v>117.0</v>
      </c>
      <c r="C26" s="35">
        <v>104.0</v>
      </c>
      <c r="D26" s="35">
        <v>1191.0</v>
      </c>
      <c r="E26" s="43">
        <v>390.0</v>
      </c>
      <c r="F26" s="43">
        <v>263.0</v>
      </c>
      <c r="G26" s="43">
        <v>2669.0</v>
      </c>
      <c r="H26" s="151">
        <f t="shared" si="2"/>
        <v>4734</v>
      </c>
    </row>
    <row r="27">
      <c r="A27" s="28" t="s">
        <v>29</v>
      </c>
      <c r="B27" s="45">
        <v>1959.0</v>
      </c>
      <c r="C27" s="47">
        <v>1902.0</v>
      </c>
      <c r="D27" s="47">
        <v>1851.0</v>
      </c>
      <c r="E27" s="27">
        <v>1802.0</v>
      </c>
      <c r="F27" s="69"/>
      <c r="G27" s="69"/>
      <c r="H27" s="153">
        <f t="shared" si="2"/>
        <v>7514</v>
      </c>
      <c r="I27" s="154"/>
    </row>
    <row r="28">
      <c r="A28" s="28" t="s">
        <v>31</v>
      </c>
      <c r="B28" s="35">
        <v>265.0</v>
      </c>
      <c r="C28" s="35">
        <v>721.0</v>
      </c>
      <c r="D28" s="35">
        <v>851.0</v>
      </c>
      <c r="E28" s="27">
        <v>355.0</v>
      </c>
      <c r="F28" s="27">
        <v>3600.0</v>
      </c>
      <c r="G28" s="27">
        <v>12000.0</v>
      </c>
      <c r="H28" s="151">
        <f t="shared" si="2"/>
        <v>17792</v>
      </c>
    </row>
    <row r="29">
      <c r="A29" s="59" t="s">
        <v>34</v>
      </c>
      <c r="B29" s="61">
        <v>295.54</v>
      </c>
      <c r="C29" s="35">
        <v>231.2</v>
      </c>
      <c r="D29" s="35">
        <v>891.2</v>
      </c>
      <c r="E29" s="63">
        <v>335.45</v>
      </c>
      <c r="F29" s="27">
        <v>476.42</v>
      </c>
      <c r="G29" s="27">
        <v>527.69</v>
      </c>
      <c r="H29" s="151">
        <f t="shared" si="2"/>
        <v>2757.5</v>
      </c>
    </row>
    <row r="30">
      <c r="A30" s="155" t="s">
        <v>44</v>
      </c>
      <c r="B30" s="156">
        <v>352.2</v>
      </c>
      <c r="C30" s="156">
        <v>148.0</v>
      </c>
      <c r="D30" s="156">
        <v>631.0</v>
      </c>
      <c r="E30" s="157">
        <v>320.25</v>
      </c>
      <c r="F30" s="158">
        <v>278.0</v>
      </c>
      <c r="G30" s="159"/>
      <c r="H30" s="151">
        <f t="shared" si="2"/>
        <v>1729.45</v>
      </c>
    </row>
    <row r="31">
      <c r="A31" s="160"/>
      <c r="B31" s="152"/>
      <c r="C31" s="152"/>
      <c r="D31" s="152"/>
      <c r="E31" s="152"/>
      <c r="F31" s="152"/>
      <c r="G31" s="152"/>
      <c r="H31" s="152"/>
    </row>
    <row r="32">
      <c r="F32" s="161"/>
    </row>
    <row r="33">
      <c r="A33" s="162">
        <v>2025.0</v>
      </c>
      <c r="B33" s="5"/>
      <c r="C33" s="5"/>
      <c r="D33" s="5"/>
      <c r="E33" s="5"/>
      <c r="F33" s="5"/>
      <c r="G33" s="5"/>
    </row>
    <row r="34">
      <c r="A34" s="163" t="s">
        <v>3</v>
      </c>
      <c r="B34" s="163" t="s">
        <v>4</v>
      </c>
      <c r="C34" s="163" t="s">
        <v>6</v>
      </c>
      <c r="D34" s="163" t="s">
        <v>7</v>
      </c>
      <c r="E34" s="163" t="s">
        <v>8</v>
      </c>
      <c r="F34" s="163" t="s">
        <v>9</v>
      </c>
      <c r="G34" s="164" t="s">
        <v>10</v>
      </c>
      <c r="H34" s="8" t="s">
        <v>159</v>
      </c>
    </row>
    <row r="35">
      <c r="A35" s="23" t="s">
        <v>18</v>
      </c>
      <c r="B35" s="25">
        <f t="shared" ref="B35:G35" si="3">B37+B36</f>
        <v>787</v>
      </c>
      <c r="C35" s="25">
        <f t="shared" si="3"/>
        <v>749</v>
      </c>
      <c r="D35" s="25">
        <f t="shared" si="3"/>
        <v>1048</v>
      </c>
      <c r="E35" s="25">
        <f t="shared" si="3"/>
        <v>795</v>
      </c>
      <c r="F35" s="25">
        <f t="shared" si="3"/>
        <v>991</v>
      </c>
      <c r="G35" s="165">
        <f t="shared" si="3"/>
        <v>1666</v>
      </c>
      <c r="H35" s="151">
        <f t="shared" ref="H35:H41" si="4">SUM(B35:G35)</f>
        <v>6036</v>
      </c>
      <c r="I35" s="154"/>
    </row>
    <row r="36">
      <c r="A36" s="23" t="s">
        <v>26</v>
      </c>
      <c r="B36" s="36">
        <v>246.0</v>
      </c>
      <c r="C36" s="26">
        <v>178.0</v>
      </c>
      <c r="D36" s="26">
        <v>243.0</v>
      </c>
      <c r="E36" s="37">
        <v>161.0</v>
      </c>
      <c r="F36" s="26">
        <v>296.0</v>
      </c>
      <c r="G36" s="26">
        <v>547.0</v>
      </c>
      <c r="H36" s="151">
        <f t="shared" si="4"/>
        <v>1671</v>
      </c>
      <c r="I36" s="166"/>
      <c r="J36" s="166"/>
    </row>
    <row r="37">
      <c r="A37" s="23" t="s">
        <v>27</v>
      </c>
      <c r="B37" s="36">
        <v>541.0</v>
      </c>
      <c r="C37" s="26">
        <v>571.0</v>
      </c>
      <c r="D37" s="26">
        <v>805.0</v>
      </c>
      <c r="E37" s="37">
        <v>634.0</v>
      </c>
      <c r="F37" s="26">
        <v>695.0</v>
      </c>
      <c r="G37" s="26">
        <v>1119.0</v>
      </c>
      <c r="H37" s="151">
        <f t="shared" si="4"/>
        <v>4365</v>
      </c>
      <c r="I37" s="62"/>
      <c r="J37" s="167"/>
      <c r="K37" s="167"/>
      <c r="L37" s="167"/>
      <c r="M37" s="167"/>
      <c r="N37" s="167"/>
      <c r="O37" s="167"/>
    </row>
    <row r="38">
      <c r="A38" s="42" t="s">
        <v>28</v>
      </c>
      <c r="B38" s="36">
        <v>240.0</v>
      </c>
      <c r="C38" s="43">
        <v>328.0</v>
      </c>
      <c r="D38" s="43">
        <v>219.0</v>
      </c>
      <c r="E38" s="43">
        <v>154.0</v>
      </c>
      <c r="F38" s="43">
        <v>964.0</v>
      </c>
      <c r="G38" s="43">
        <v>1295.0</v>
      </c>
      <c r="H38" s="151">
        <f t="shared" si="4"/>
        <v>3200</v>
      </c>
      <c r="I38" s="70"/>
    </row>
    <row r="39">
      <c r="A39" s="52" t="s">
        <v>29</v>
      </c>
      <c r="B39" s="47">
        <v>2235.0</v>
      </c>
      <c r="C39" s="27">
        <v>2235.0</v>
      </c>
      <c r="D39" s="27">
        <v>2234.0</v>
      </c>
      <c r="E39" s="27">
        <v>2195.0</v>
      </c>
      <c r="F39" s="27">
        <v>2218.0</v>
      </c>
      <c r="G39" s="27">
        <v>2228.0</v>
      </c>
      <c r="H39" s="153">
        <f t="shared" si="4"/>
        <v>13345</v>
      </c>
      <c r="I39" s="70"/>
    </row>
    <row r="40">
      <c r="A40" s="52" t="s">
        <v>31</v>
      </c>
      <c r="B40" s="36">
        <v>306.0</v>
      </c>
      <c r="C40" s="27">
        <v>721.0</v>
      </c>
      <c r="D40" s="27">
        <v>611.0</v>
      </c>
      <c r="E40" s="27">
        <v>490.0</v>
      </c>
      <c r="F40" s="27">
        <v>4400.0</v>
      </c>
      <c r="G40" s="27">
        <v>9900.0</v>
      </c>
      <c r="H40" s="151">
        <f t="shared" si="4"/>
        <v>16428</v>
      </c>
      <c r="I40" s="70"/>
    </row>
    <row r="41">
      <c r="A41" s="52" t="s">
        <v>34</v>
      </c>
      <c r="B41" s="36"/>
      <c r="C41" s="36"/>
      <c r="D41" s="26">
        <v>51.0</v>
      </c>
      <c r="E41" s="63">
        <v>282.0</v>
      </c>
      <c r="F41" s="36">
        <v>405.0</v>
      </c>
      <c r="G41" s="36">
        <v>705.0</v>
      </c>
      <c r="H41" s="151">
        <f t="shared" si="4"/>
        <v>1443</v>
      </c>
      <c r="I41" s="168"/>
      <c r="N41" s="1"/>
    </row>
    <row r="42">
      <c r="H42" s="151"/>
    </row>
    <row r="43">
      <c r="A43" s="20"/>
      <c r="B43" s="20"/>
      <c r="C43" s="20"/>
      <c r="D43" s="20"/>
    </row>
    <row r="48">
      <c r="J48" s="170"/>
    </row>
    <row r="57">
      <c r="A57" s="9"/>
      <c r="B57" s="171"/>
      <c r="C57" s="171"/>
      <c r="D57" s="65"/>
    </row>
    <row r="100">
      <c r="A100" s="1" t="s">
        <v>188</v>
      </c>
      <c r="B100" s="173" t="str">
        <f t="shared" ref="B100:G100" si="5">B22</f>
        <v>Январь</v>
      </c>
      <c r="C100" s="173" t="str">
        <f t="shared" si="5"/>
        <v>Февраль</v>
      </c>
      <c r="D100" s="173" t="str">
        <f t="shared" si="5"/>
        <v>Март</v>
      </c>
      <c r="E100" s="173" t="str">
        <f t="shared" si="5"/>
        <v>Апрель</v>
      </c>
      <c r="F100" s="173" t="str">
        <f t="shared" si="5"/>
        <v>Май</v>
      </c>
      <c r="G100" s="173" t="str">
        <f t="shared" si="5"/>
        <v>Июнь</v>
      </c>
    </row>
    <row r="101">
      <c r="A101" s="1">
        <v>2025.0</v>
      </c>
      <c r="B101" s="173">
        <f t="shared" ref="B101:G101" si="6">B35</f>
        <v>787</v>
      </c>
      <c r="C101" s="173">
        <f t="shared" si="6"/>
        <v>749</v>
      </c>
      <c r="D101" s="173">
        <f t="shared" si="6"/>
        <v>1048</v>
      </c>
      <c r="E101" s="173">
        <f t="shared" si="6"/>
        <v>795</v>
      </c>
      <c r="F101" s="173">
        <f t="shared" si="6"/>
        <v>991</v>
      </c>
      <c r="G101" s="173">
        <f t="shared" si="6"/>
        <v>1666</v>
      </c>
    </row>
    <row r="102">
      <c r="A102" s="1">
        <v>2026.0</v>
      </c>
      <c r="B102" s="173">
        <f t="shared" ref="B102:G102" si="7">B23</f>
        <v>771</v>
      </c>
      <c r="C102" s="173">
        <f t="shared" si="7"/>
        <v>602</v>
      </c>
      <c r="D102" s="173">
        <f t="shared" si="7"/>
        <v>1800</v>
      </c>
      <c r="E102" s="173">
        <f t="shared" si="7"/>
        <v>746</v>
      </c>
      <c r="F102" s="173">
        <f t="shared" si="7"/>
        <v>919</v>
      </c>
      <c r="G102" s="173">
        <f t="shared" si="7"/>
        <v>2330</v>
      </c>
    </row>
    <row r="104">
      <c r="A104" s="1" t="s">
        <v>188</v>
      </c>
      <c r="B104" s="173" t="str">
        <f t="shared" ref="B104:G104" si="8">B22</f>
        <v>Январь</v>
      </c>
      <c r="C104" s="173" t="str">
        <f t="shared" si="8"/>
        <v>Февраль</v>
      </c>
      <c r="D104" s="173" t="str">
        <f t="shared" si="8"/>
        <v>Март</v>
      </c>
      <c r="E104" s="173" t="str">
        <f t="shared" si="8"/>
        <v>Апрель</v>
      </c>
      <c r="F104" s="173" t="str">
        <f t="shared" si="8"/>
        <v>Май</v>
      </c>
      <c r="G104" s="173" t="str">
        <f t="shared" si="8"/>
        <v>Июнь</v>
      </c>
    </row>
    <row r="105">
      <c r="A105" s="1">
        <v>2025.0</v>
      </c>
      <c r="B105" s="173">
        <f t="shared" ref="B105:G105" si="9">B36</f>
        <v>246</v>
      </c>
      <c r="C105" s="173">
        <f t="shared" si="9"/>
        <v>178</v>
      </c>
      <c r="D105" s="173">
        <f t="shared" si="9"/>
        <v>243</v>
      </c>
      <c r="E105" s="173">
        <f t="shared" si="9"/>
        <v>161</v>
      </c>
      <c r="F105" s="173">
        <f t="shared" si="9"/>
        <v>296</v>
      </c>
      <c r="G105" s="173">
        <f t="shared" si="9"/>
        <v>547</v>
      </c>
    </row>
    <row r="106">
      <c r="A106" s="1">
        <v>2026.0</v>
      </c>
      <c r="B106" s="173">
        <f t="shared" ref="B106:G106" si="10">B24</f>
        <v>186</v>
      </c>
      <c r="C106" s="173">
        <f t="shared" si="10"/>
        <v>130</v>
      </c>
      <c r="D106" s="173">
        <f t="shared" si="10"/>
        <v>1034</v>
      </c>
      <c r="E106" s="173">
        <f t="shared" si="10"/>
        <v>181</v>
      </c>
      <c r="F106" s="173">
        <f t="shared" si="10"/>
        <v>236</v>
      </c>
      <c r="G106" s="173">
        <f t="shared" si="10"/>
        <v>682</v>
      </c>
    </row>
    <row r="108">
      <c r="A108" s="1" t="s">
        <v>188</v>
      </c>
      <c r="B108" s="173" t="str">
        <f t="shared" ref="B108:G108" si="11">B22</f>
        <v>Январь</v>
      </c>
      <c r="C108" s="173" t="str">
        <f t="shared" si="11"/>
        <v>Февраль</v>
      </c>
      <c r="D108" s="173" t="str">
        <f t="shared" si="11"/>
        <v>Март</v>
      </c>
      <c r="E108" s="173" t="str">
        <f t="shared" si="11"/>
        <v>Апрель</v>
      </c>
      <c r="F108" s="173" t="str">
        <f t="shared" si="11"/>
        <v>Май</v>
      </c>
      <c r="G108" s="173" t="str">
        <f t="shared" si="11"/>
        <v>Июнь</v>
      </c>
    </row>
    <row r="109">
      <c r="A109" s="1">
        <v>2025.0</v>
      </c>
      <c r="B109" s="173">
        <f t="shared" ref="B109:G109" si="12">B37</f>
        <v>541</v>
      </c>
      <c r="C109" s="173">
        <f t="shared" si="12"/>
        <v>571</v>
      </c>
      <c r="D109" s="173">
        <f t="shared" si="12"/>
        <v>805</v>
      </c>
      <c r="E109" s="173">
        <f t="shared" si="12"/>
        <v>634</v>
      </c>
      <c r="F109" s="173">
        <f t="shared" si="12"/>
        <v>695</v>
      </c>
      <c r="G109" s="173">
        <f t="shared" si="12"/>
        <v>1119</v>
      </c>
    </row>
    <row r="110">
      <c r="A110" s="1">
        <v>2026.0</v>
      </c>
      <c r="B110" s="173">
        <f t="shared" ref="B110:G110" si="13">B25</f>
        <v>585</v>
      </c>
      <c r="C110" s="173">
        <f t="shared" si="13"/>
        <v>472</v>
      </c>
      <c r="D110" s="173">
        <f t="shared" si="13"/>
        <v>766</v>
      </c>
      <c r="E110" s="173">
        <f t="shared" si="13"/>
        <v>565</v>
      </c>
      <c r="F110" s="173">
        <f t="shared" si="13"/>
        <v>683</v>
      </c>
      <c r="G110" s="173">
        <f t="shared" si="13"/>
        <v>1648</v>
      </c>
    </row>
    <row r="112">
      <c r="A112" s="1" t="s">
        <v>188</v>
      </c>
      <c r="B112" s="1" t="s">
        <v>4</v>
      </c>
      <c r="C112" s="1" t="s">
        <v>6</v>
      </c>
      <c r="D112" s="1" t="s">
        <v>7</v>
      </c>
      <c r="E112" s="1" t="s">
        <v>8</v>
      </c>
      <c r="F112" s="1" t="s">
        <v>9</v>
      </c>
      <c r="G112" s="1" t="s">
        <v>10</v>
      </c>
    </row>
    <row r="113">
      <c r="A113" s="1">
        <v>2025.0</v>
      </c>
      <c r="B113" s="173">
        <f t="shared" ref="B113:G113" si="14">B38</f>
        <v>240</v>
      </c>
      <c r="C113" s="173">
        <f t="shared" si="14"/>
        <v>328</v>
      </c>
      <c r="D113" s="173">
        <f t="shared" si="14"/>
        <v>219</v>
      </c>
      <c r="E113" s="173">
        <f t="shared" si="14"/>
        <v>154</v>
      </c>
      <c r="F113" s="173">
        <f t="shared" si="14"/>
        <v>964</v>
      </c>
      <c r="G113" s="173">
        <f t="shared" si="14"/>
        <v>1295</v>
      </c>
    </row>
    <row r="114">
      <c r="A114" s="1">
        <v>2026.0</v>
      </c>
      <c r="B114" s="173">
        <f t="shared" ref="B114:G114" si="15">B26</f>
        <v>117</v>
      </c>
      <c r="C114" s="173">
        <f t="shared" si="15"/>
        <v>104</v>
      </c>
      <c r="D114" s="173">
        <f t="shared" si="15"/>
        <v>1191</v>
      </c>
      <c r="E114" s="173">
        <f t="shared" si="15"/>
        <v>390</v>
      </c>
      <c r="F114" s="173">
        <f t="shared" si="15"/>
        <v>263</v>
      </c>
      <c r="G114" s="173">
        <f t="shared" si="15"/>
        <v>2669</v>
      </c>
    </row>
    <row r="116">
      <c r="A116" s="1" t="s">
        <v>203</v>
      </c>
      <c r="B116" s="1" t="s">
        <v>4</v>
      </c>
      <c r="C116" s="1" t="s">
        <v>6</v>
      </c>
      <c r="D116" s="1" t="s">
        <v>7</v>
      </c>
      <c r="E116" s="1" t="s">
        <v>8</v>
      </c>
      <c r="F116" s="1" t="s">
        <v>9</v>
      </c>
      <c r="G116" s="1" t="s">
        <v>10</v>
      </c>
    </row>
    <row r="117">
      <c r="A117" s="1">
        <v>2025.0</v>
      </c>
      <c r="B117" s="173">
        <f t="shared" ref="B117:G117" si="16">B40</f>
        <v>306</v>
      </c>
      <c r="C117" s="173">
        <f t="shared" si="16"/>
        <v>721</v>
      </c>
      <c r="D117" s="173">
        <f t="shared" si="16"/>
        <v>611</v>
      </c>
      <c r="E117" s="173">
        <f t="shared" si="16"/>
        <v>490</v>
      </c>
      <c r="F117" s="173">
        <f t="shared" si="16"/>
        <v>4400</v>
      </c>
      <c r="G117" s="173">
        <f t="shared" si="16"/>
        <v>9900</v>
      </c>
    </row>
    <row r="118">
      <c r="A118" s="1">
        <v>2026.0</v>
      </c>
      <c r="B118" s="173">
        <f t="shared" ref="B118:G118" si="17">B28</f>
        <v>265</v>
      </c>
      <c r="C118" s="173">
        <f t="shared" si="17"/>
        <v>721</v>
      </c>
      <c r="D118" s="173">
        <f t="shared" si="17"/>
        <v>851</v>
      </c>
      <c r="E118" s="173">
        <f t="shared" si="17"/>
        <v>355</v>
      </c>
      <c r="F118" s="173">
        <f t="shared" si="17"/>
        <v>3600</v>
      </c>
      <c r="G118" s="173">
        <f t="shared" si="17"/>
        <v>12000</v>
      </c>
    </row>
    <row r="120">
      <c r="A120" s="1" t="s">
        <v>203</v>
      </c>
      <c r="B120" s="1" t="s">
        <v>4</v>
      </c>
      <c r="C120" s="1" t="s">
        <v>6</v>
      </c>
      <c r="D120" s="1" t="s">
        <v>7</v>
      </c>
      <c r="E120" s="1" t="s">
        <v>8</v>
      </c>
      <c r="F120" s="1" t="s">
        <v>9</v>
      </c>
      <c r="G120" s="1" t="s">
        <v>10</v>
      </c>
    </row>
    <row r="121">
      <c r="A121" s="1">
        <v>2025.0</v>
      </c>
      <c r="D121" s="173">
        <f t="shared" ref="D121:G121" si="18">D41</f>
        <v>51</v>
      </c>
      <c r="E121" s="173">
        <f t="shared" si="18"/>
        <v>282</v>
      </c>
      <c r="F121" s="173">
        <f t="shared" si="18"/>
        <v>405</v>
      </c>
      <c r="G121" s="173">
        <f t="shared" si="18"/>
        <v>705</v>
      </c>
    </row>
    <row r="122">
      <c r="A122" s="1">
        <v>2026.0</v>
      </c>
      <c r="B122" s="173">
        <f t="shared" ref="B122:G122" si="19">B29</f>
        <v>295.54</v>
      </c>
      <c r="C122" s="173">
        <f t="shared" si="19"/>
        <v>231.2</v>
      </c>
      <c r="D122" s="173">
        <f t="shared" si="19"/>
        <v>891.2</v>
      </c>
      <c r="E122" s="173">
        <f t="shared" si="19"/>
        <v>335.45</v>
      </c>
      <c r="F122" s="173">
        <f t="shared" si="19"/>
        <v>476.42</v>
      </c>
      <c r="G122" s="173">
        <f t="shared" si="19"/>
        <v>527.69</v>
      </c>
    </row>
  </sheetData>
  <mergeCells count="8">
    <mergeCell ref="A1:B1"/>
    <mergeCell ref="D1:E1"/>
    <mergeCell ref="G1:H1"/>
    <mergeCell ref="K1:L1"/>
    <mergeCell ref="O1:P1"/>
    <mergeCell ref="R1:S1"/>
    <mergeCell ref="A21:G21"/>
    <mergeCell ref="A33:G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0.75"/>
    <col customWidth="1" min="3" max="3" width="11.63"/>
    <col customWidth="1" min="4" max="6" width="13.25"/>
    <col customWidth="1" min="7" max="7" width="18.5"/>
    <col customWidth="1" min="8" max="8" width="13.0"/>
    <col customWidth="1" min="9" max="9" width="15.25"/>
    <col customWidth="1" min="10" max="10" width="47.38"/>
    <col customWidth="1" min="11" max="11" width="32.13"/>
    <col customWidth="1" min="12" max="12" width="11.63"/>
    <col customWidth="1" min="13" max="13" width="18.0"/>
    <col customWidth="1" min="14" max="14" width="22.13"/>
    <col customWidth="1" min="15" max="15" width="20.88"/>
    <col customWidth="1" min="16" max="16" width="41.0"/>
    <col customWidth="1" min="17" max="17" width="12.63"/>
    <col customWidth="1" min="18" max="18" width="14.38"/>
    <col customWidth="1" min="19" max="19" width="11.38"/>
    <col customWidth="1" min="20" max="20" width="10.0"/>
    <col customWidth="1" min="21" max="21" width="7.5"/>
  </cols>
  <sheetData>
    <row r="1">
      <c r="B1" s="108" t="s">
        <v>3</v>
      </c>
      <c r="C1" s="6"/>
      <c r="D1" s="109" t="s">
        <v>18</v>
      </c>
      <c r="E1" s="109" t="s">
        <v>26</v>
      </c>
      <c r="F1" s="109" t="s">
        <v>27</v>
      </c>
      <c r="G1" s="109" t="s">
        <v>28</v>
      </c>
      <c r="H1" s="110" t="s">
        <v>29</v>
      </c>
      <c r="I1" s="110" t="s">
        <v>31</v>
      </c>
      <c r="K1" s="111"/>
      <c r="L1" s="111"/>
      <c r="M1" s="112"/>
      <c r="N1" s="112"/>
      <c r="O1" s="112"/>
      <c r="P1" s="112"/>
      <c r="Q1" s="113"/>
      <c r="R1" s="113"/>
    </row>
    <row r="2">
      <c r="B2" s="114" t="s">
        <v>1</v>
      </c>
      <c r="C2" s="110" t="s">
        <v>4</v>
      </c>
      <c r="D2" s="115">
        <v>56.0</v>
      </c>
      <c r="E2" s="116">
        <v>32.0</v>
      </c>
      <c r="F2" s="116">
        <v>24.0</v>
      </c>
      <c r="G2" s="115">
        <v>0.0</v>
      </c>
      <c r="H2" s="116">
        <v>0.0</v>
      </c>
      <c r="I2" s="116">
        <v>0.0</v>
      </c>
      <c r="K2" s="111"/>
      <c r="L2" s="111"/>
      <c r="M2" s="113"/>
      <c r="N2" s="112"/>
      <c r="O2" s="112"/>
      <c r="P2" s="113"/>
      <c r="Q2" s="112"/>
      <c r="R2" s="112"/>
    </row>
    <row r="3">
      <c r="B3" s="117"/>
      <c r="C3" s="110" t="s">
        <v>6</v>
      </c>
      <c r="D3" s="115">
        <v>8.0</v>
      </c>
      <c r="E3" s="116">
        <v>6.0</v>
      </c>
      <c r="F3" s="116">
        <v>2.0</v>
      </c>
      <c r="G3" s="115">
        <v>12.0</v>
      </c>
      <c r="H3" s="116">
        <v>0.0</v>
      </c>
      <c r="I3" s="116">
        <v>0.0</v>
      </c>
      <c r="K3" s="111"/>
      <c r="L3" s="111"/>
      <c r="M3" s="113"/>
      <c r="N3" s="112"/>
      <c r="O3" s="112"/>
      <c r="P3" s="113"/>
      <c r="Q3" s="112"/>
      <c r="R3" s="112"/>
    </row>
    <row r="4">
      <c r="B4" s="117"/>
      <c r="C4" s="110" t="s">
        <v>7</v>
      </c>
      <c r="D4" s="115">
        <v>94.0</v>
      </c>
      <c r="E4" s="116">
        <v>48.0</v>
      </c>
      <c r="F4" s="116">
        <v>46.0</v>
      </c>
      <c r="G4" s="115">
        <v>71.0</v>
      </c>
      <c r="H4" s="116">
        <v>0.0</v>
      </c>
      <c r="I4" s="116">
        <v>0.0</v>
      </c>
      <c r="K4" s="111"/>
      <c r="L4" s="111"/>
      <c r="M4" s="113"/>
      <c r="N4" s="112"/>
      <c r="O4" s="112"/>
      <c r="P4" s="113"/>
      <c r="Q4" s="112"/>
      <c r="R4" s="112"/>
    </row>
    <row r="5">
      <c r="B5" s="117"/>
      <c r="C5" s="110" t="s">
        <v>8</v>
      </c>
      <c r="D5" s="115">
        <v>115.0</v>
      </c>
      <c r="E5" s="116">
        <v>44.0</v>
      </c>
      <c r="F5" s="116">
        <v>71.0</v>
      </c>
      <c r="G5" s="115">
        <v>61.0</v>
      </c>
      <c r="H5" s="115">
        <v>440.0</v>
      </c>
      <c r="I5" s="116">
        <v>0.0</v>
      </c>
      <c r="K5" s="111"/>
      <c r="L5" s="111"/>
      <c r="M5" s="113"/>
      <c r="N5" s="112"/>
      <c r="O5" s="112"/>
      <c r="P5" s="113"/>
      <c r="Q5" s="113"/>
      <c r="R5" s="112"/>
    </row>
    <row r="6">
      <c r="B6" s="117"/>
      <c r="C6" s="110" t="s">
        <v>9</v>
      </c>
      <c r="D6" s="115">
        <v>245.0</v>
      </c>
      <c r="E6" s="116">
        <v>111.0</v>
      </c>
      <c r="F6" s="116">
        <v>134.0</v>
      </c>
      <c r="G6" s="115">
        <v>147.0</v>
      </c>
      <c r="H6" s="115">
        <v>625.0</v>
      </c>
      <c r="I6" s="116">
        <v>0.0</v>
      </c>
      <c r="K6" s="111"/>
      <c r="L6" s="111"/>
      <c r="M6" s="113"/>
      <c r="N6" s="112"/>
      <c r="O6" s="112"/>
      <c r="P6" s="113"/>
      <c r="Q6" s="113"/>
      <c r="R6" s="112"/>
    </row>
    <row r="7">
      <c r="B7" s="117"/>
      <c r="C7" s="110" t="s">
        <v>10</v>
      </c>
      <c r="D7" s="115">
        <v>306.0</v>
      </c>
      <c r="E7" s="116">
        <v>132.0</v>
      </c>
      <c r="F7" s="116">
        <v>174.0</v>
      </c>
      <c r="G7" s="115">
        <v>131.0</v>
      </c>
      <c r="H7" s="115">
        <v>808.0</v>
      </c>
      <c r="I7" s="116">
        <v>0.0</v>
      </c>
      <c r="K7" s="111"/>
      <c r="L7" s="111"/>
      <c r="M7" s="113"/>
      <c r="N7" s="112"/>
      <c r="O7" s="112"/>
      <c r="P7" s="113"/>
      <c r="Q7" s="113"/>
      <c r="R7" s="112"/>
    </row>
    <row r="8">
      <c r="B8" s="117"/>
      <c r="C8" s="110" t="s">
        <v>11</v>
      </c>
      <c r="D8" s="115">
        <v>362.0</v>
      </c>
      <c r="E8" s="116">
        <v>108.0</v>
      </c>
      <c r="F8" s="116">
        <v>254.0</v>
      </c>
      <c r="G8" s="115">
        <v>120.0</v>
      </c>
      <c r="H8" s="118">
        <v>1048.0</v>
      </c>
      <c r="I8" s="115">
        <v>360.0</v>
      </c>
      <c r="K8" s="111"/>
      <c r="L8" s="111"/>
      <c r="M8" s="113"/>
      <c r="N8" s="112"/>
      <c r="O8" s="112"/>
      <c r="P8" s="113"/>
      <c r="Q8" s="119"/>
      <c r="R8" s="113"/>
    </row>
    <row r="9">
      <c r="B9" s="117"/>
      <c r="C9" s="110" t="s">
        <v>12</v>
      </c>
      <c r="D9" s="115">
        <v>441.0</v>
      </c>
      <c r="E9" s="116">
        <v>131.0</v>
      </c>
      <c r="F9" s="116">
        <v>310.0</v>
      </c>
      <c r="G9" s="115">
        <v>110.0</v>
      </c>
      <c r="H9" s="118">
        <v>1149.0</v>
      </c>
      <c r="I9" s="115">
        <v>581.0</v>
      </c>
      <c r="K9" s="111"/>
      <c r="L9" s="111"/>
      <c r="M9" s="113"/>
      <c r="N9" s="112"/>
      <c r="O9" s="112"/>
      <c r="P9" s="113"/>
      <c r="Q9" s="119"/>
      <c r="R9" s="113"/>
    </row>
    <row r="10">
      <c r="B10" s="117"/>
      <c r="C10" s="110" t="s">
        <v>20</v>
      </c>
      <c r="D10" s="115">
        <v>235.0</v>
      </c>
      <c r="E10" s="116">
        <v>53.0</v>
      </c>
      <c r="F10" s="116">
        <v>182.0</v>
      </c>
      <c r="G10" s="115">
        <v>115.0</v>
      </c>
      <c r="H10" s="118">
        <v>1213.0</v>
      </c>
      <c r="I10" s="115">
        <v>479.0</v>
      </c>
      <c r="K10" s="111"/>
      <c r="L10" s="111"/>
      <c r="M10" s="113"/>
      <c r="N10" s="112"/>
      <c r="O10" s="112"/>
      <c r="P10" s="113"/>
      <c r="Q10" s="119"/>
      <c r="R10" s="113"/>
    </row>
    <row r="11">
      <c r="B11" s="117"/>
      <c r="C11" s="110" t="s">
        <v>21</v>
      </c>
      <c r="D11" s="115">
        <v>328.0</v>
      </c>
      <c r="E11" s="116">
        <v>94.0</v>
      </c>
      <c r="F11" s="116">
        <v>234.0</v>
      </c>
      <c r="G11" s="116">
        <v>191.0</v>
      </c>
      <c r="H11" s="118">
        <v>1278.0</v>
      </c>
      <c r="I11" s="115">
        <v>727.0</v>
      </c>
      <c r="K11" s="111"/>
      <c r="L11" s="111"/>
      <c r="M11" s="113"/>
      <c r="N11" s="112"/>
      <c r="O11" s="112"/>
      <c r="P11" s="112"/>
      <c r="Q11" s="119"/>
      <c r="R11" s="113"/>
    </row>
    <row r="12">
      <c r="B12" s="117"/>
      <c r="C12" s="110" t="s">
        <v>22</v>
      </c>
      <c r="D12" s="115">
        <v>513.0</v>
      </c>
      <c r="E12" s="116">
        <v>170.0</v>
      </c>
      <c r="F12" s="116">
        <v>343.0</v>
      </c>
      <c r="G12" s="116">
        <v>178.0</v>
      </c>
      <c r="H12" s="118">
        <v>1342.0</v>
      </c>
      <c r="I12" s="115">
        <v>533.0</v>
      </c>
      <c r="K12" s="111"/>
      <c r="L12" s="111"/>
      <c r="M12" s="113"/>
      <c r="N12" s="112"/>
      <c r="O12" s="112"/>
      <c r="P12" s="112"/>
      <c r="Q12" s="119"/>
      <c r="R12" s="113"/>
    </row>
    <row r="13">
      <c r="B13" s="117"/>
      <c r="C13" s="110" t="s">
        <v>23</v>
      </c>
      <c r="D13" s="115">
        <v>324.0</v>
      </c>
      <c r="E13" s="116">
        <v>136.0</v>
      </c>
      <c r="F13" s="116">
        <v>188.0</v>
      </c>
      <c r="G13" s="116">
        <v>68.0</v>
      </c>
      <c r="H13" s="120">
        <v>1355.0</v>
      </c>
      <c r="I13" s="116">
        <v>742.0</v>
      </c>
      <c r="K13" s="111"/>
      <c r="L13" s="111"/>
      <c r="M13" s="113"/>
      <c r="N13" s="112"/>
      <c r="O13" s="112"/>
      <c r="P13" s="112"/>
      <c r="Q13" s="121"/>
      <c r="R13" s="112"/>
    </row>
    <row r="14">
      <c r="B14" s="117"/>
      <c r="C14" s="110" t="s">
        <v>17</v>
      </c>
      <c r="D14" s="110">
        <v>3027.0</v>
      </c>
      <c r="E14" s="110">
        <v>1065.0</v>
      </c>
      <c r="F14" s="110">
        <v>1962.0</v>
      </c>
      <c r="G14" s="110">
        <v>1204.0</v>
      </c>
      <c r="H14" s="109">
        <v>1355.0</v>
      </c>
      <c r="I14" s="110">
        <v>3422.0</v>
      </c>
      <c r="K14" s="111"/>
      <c r="L14" s="111"/>
      <c r="M14" s="111"/>
      <c r="N14" s="111"/>
      <c r="O14" s="111"/>
      <c r="P14" s="111"/>
      <c r="Q14" s="122"/>
      <c r="R14" s="111"/>
    </row>
    <row r="16">
      <c r="B16" s="123" t="s">
        <v>66</v>
      </c>
      <c r="C16" s="110" t="s">
        <v>3</v>
      </c>
      <c r="D16" s="109" t="s">
        <v>18</v>
      </c>
      <c r="E16" s="109" t="s">
        <v>26</v>
      </c>
      <c r="F16" s="109" t="s">
        <v>27</v>
      </c>
      <c r="G16" s="109" t="s">
        <v>28</v>
      </c>
      <c r="H16" s="110" t="s">
        <v>29</v>
      </c>
      <c r="I16" s="110" t="s">
        <v>31</v>
      </c>
      <c r="T16" s="124"/>
    </row>
    <row r="17">
      <c r="B17" s="117"/>
      <c r="C17" s="110" t="s">
        <v>4</v>
      </c>
      <c r="D17" s="115">
        <v>391.0</v>
      </c>
      <c r="E17" s="116">
        <v>155.0</v>
      </c>
      <c r="F17" s="116">
        <v>236.0</v>
      </c>
      <c r="G17" s="115">
        <v>105.0</v>
      </c>
      <c r="H17" s="116">
        <v>1657.0</v>
      </c>
      <c r="I17" s="116">
        <v>132.0</v>
      </c>
    </row>
    <row r="18">
      <c r="B18" s="117"/>
      <c r="C18" s="110" t="s">
        <v>6</v>
      </c>
      <c r="D18" s="115">
        <v>353.0</v>
      </c>
      <c r="E18" s="116">
        <v>113.0</v>
      </c>
      <c r="F18" s="116">
        <v>240.0</v>
      </c>
      <c r="G18" s="115">
        <v>88.0</v>
      </c>
      <c r="H18" s="116">
        <v>1696.0</v>
      </c>
      <c r="I18" s="116">
        <v>251.0</v>
      </c>
    </row>
    <row r="19">
      <c r="B19" s="117"/>
      <c r="C19" s="110" t="s">
        <v>7</v>
      </c>
      <c r="D19" s="115">
        <v>433.0</v>
      </c>
      <c r="E19" s="116">
        <v>177.0</v>
      </c>
      <c r="F19" s="116">
        <v>256.0</v>
      </c>
      <c r="G19" s="115">
        <v>81.0</v>
      </c>
      <c r="H19" s="116">
        <v>1780.0</v>
      </c>
      <c r="I19" s="116">
        <v>149.0</v>
      </c>
    </row>
    <row r="20">
      <c r="B20" s="117"/>
      <c r="C20" s="110" t="s">
        <v>8</v>
      </c>
      <c r="D20" s="115">
        <v>421.0</v>
      </c>
      <c r="E20" s="116">
        <v>159.0</v>
      </c>
      <c r="F20" s="116">
        <v>262.0</v>
      </c>
      <c r="G20" s="115">
        <v>65.0</v>
      </c>
      <c r="H20" s="115">
        <v>1815.0</v>
      </c>
      <c r="I20" s="116">
        <v>121.0</v>
      </c>
    </row>
    <row r="21">
      <c r="B21" s="117"/>
      <c r="C21" s="110" t="s">
        <v>9</v>
      </c>
      <c r="D21" s="115">
        <v>439.0</v>
      </c>
      <c r="E21" s="116">
        <v>163.0</v>
      </c>
      <c r="F21" s="116">
        <v>276.0</v>
      </c>
      <c r="G21" s="115">
        <v>61.0</v>
      </c>
      <c r="H21" s="115">
        <v>1815.0</v>
      </c>
      <c r="I21" s="116">
        <v>767.0</v>
      </c>
    </row>
    <row r="22">
      <c r="B22" s="117"/>
      <c r="C22" s="110" t="s">
        <v>10</v>
      </c>
      <c r="D22" s="115">
        <v>604.0</v>
      </c>
      <c r="E22" s="116">
        <v>245.0</v>
      </c>
      <c r="F22" s="116">
        <v>359.0</v>
      </c>
      <c r="G22" s="115">
        <v>92.0</v>
      </c>
      <c r="H22" s="115">
        <v>1854.0</v>
      </c>
      <c r="I22" s="116">
        <v>1200.0</v>
      </c>
    </row>
    <row r="23">
      <c r="B23" s="117"/>
      <c r="C23" s="110" t="s">
        <v>11</v>
      </c>
      <c r="D23" s="115">
        <v>741.0</v>
      </c>
      <c r="E23" s="116">
        <v>266.0</v>
      </c>
      <c r="F23" s="116">
        <v>475.0</v>
      </c>
      <c r="G23" s="115">
        <v>95.0</v>
      </c>
      <c r="H23" s="118">
        <v>1885.0</v>
      </c>
      <c r="I23" s="115">
        <v>1600.0</v>
      </c>
    </row>
    <row r="24">
      <c r="B24" s="117"/>
      <c r="C24" s="110" t="s">
        <v>12</v>
      </c>
      <c r="D24" s="115">
        <v>1146.0</v>
      </c>
      <c r="E24" s="116">
        <v>303.0</v>
      </c>
      <c r="F24" s="116">
        <v>843.0</v>
      </c>
      <c r="G24" s="115">
        <v>259.0</v>
      </c>
      <c r="H24" s="118">
        <v>2045.0</v>
      </c>
      <c r="I24" s="115">
        <v>1600.0</v>
      </c>
    </row>
    <row r="25">
      <c r="B25" s="117"/>
      <c r="C25" s="110" t="s">
        <v>13</v>
      </c>
      <c r="D25" s="115">
        <v>1132.0</v>
      </c>
      <c r="E25" s="116">
        <v>233.0</v>
      </c>
      <c r="F25" s="116">
        <v>899.0</v>
      </c>
      <c r="G25" s="115">
        <v>264.0</v>
      </c>
      <c r="H25" s="118">
        <v>2107.0</v>
      </c>
      <c r="I25" s="115">
        <v>983.0</v>
      </c>
    </row>
    <row r="26">
      <c r="B26" s="117"/>
      <c r="C26" s="110" t="s">
        <v>14</v>
      </c>
      <c r="D26" s="115">
        <v>1110.0</v>
      </c>
      <c r="E26" s="116">
        <v>234.0</v>
      </c>
      <c r="F26" s="116">
        <v>876.0</v>
      </c>
      <c r="G26" s="116">
        <v>173.0</v>
      </c>
      <c r="H26" s="118">
        <v>2153.0</v>
      </c>
      <c r="I26" s="115">
        <v>236.0</v>
      </c>
    </row>
    <row r="27">
      <c r="B27" s="117"/>
      <c r="C27" s="110" t="s">
        <v>15</v>
      </c>
      <c r="D27" s="115">
        <v>948.0</v>
      </c>
      <c r="E27" s="116">
        <v>207.0</v>
      </c>
      <c r="F27" s="116">
        <v>741.0</v>
      </c>
      <c r="G27" s="116">
        <v>127.0</v>
      </c>
      <c r="H27" s="118">
        <v>2181.0</v>
      </c>
      <c r="I27" s="115">
        <v>122.0</v>
      </c>
    </row>
    <row r="28">
      <c r="B28" s="117"/>
      <c r="C28" s="110" t="s">
        <v>16</v>
      </c>
      <c r="D28" s="115">
        <v>516.0</v>
      </c>
      <c r="E28" s="116">
        <v>121.0</v>
      </c>
      <c r="F28" s="116">
        <v>395.0</v>
      </c>
      <c r="G28" s="116">
        <v>135.0</v>
      </c>
      <c r="H28" s="120">
        <v>2284.0</v>
      </c>
      <c r="I28" s="116">
        <v>522.0</v>
      </c>
    </row>
    <row r="29">
      <c r="B29" s="125"/>
      <c r="C29" s="110" t="s">
        <v>17</v>
      </c>
      <c r="D29" s="110">
        <v>8234.0</v>
      </c>
      <c r="E29" s="110">
        <v>2376.0</v>
      </c>
      <c r="F29" s="110">
        <v>5858.0</v>
      </c>
      <c r="G29" s="110">
        <v>1545.0</v>
      </c>
      <c r="H29" s="109">
        <v>2284.0</v>
      </c>
      <c r="I29" s="110">
        <v>7683.0</v>
      </c>
    </row>
    <row r="32">
      <c r="U32" s="111"/>
      <c r="V32" s="111"/>
      <c r="W32" s="111"/>
      <c r="X32" s="111"/>
    </row>
    <row r="33">
      <c r="U33" s="122"/>
      <c r="W33" s="126"/>
      <c r="X33" s="122"/>
    </row>
    <row r="34">
      <c r="U34" s="111"/>
      <c r="V34" s="112"/>
      <c r="X34" s="112"/>
    </row>
    <row r="35">
      <c r="C35" s="127" t="s">
        <v>3</v>
      </c>
      <c r="D35" s="128" t="s">
        <v>26</v>
      </c>
      <c r="E35" s="128" t="s">
        <v>62</v>
      </c>
      <c r="F35" s="128" t="s">
        <v>63</v>
      </c>
      <c r="G35" s="128" t="s">
        <v>64</v>
      </c>
      <c r="U35" s="111"/>
      <c r="V35" s="112"/>
      <c r="X35" s="112"/>
    </row>
    <row r="36">
      <c r="C36" s="129" t="s">
        <v>4</v>
      </c>
      <c r="D36" s="130">
        <v>155.0</v>
      </c>
      <c r="E36" s="130">
        <v>0.0</v>
      </c>
      <c r="F36" s="130">
        <v>0.0</v>
      </c>
      <c r="G36" s="130">
        <v>0.0</v>
      </c>
      <c r="U36" s="111"/>
      <c r="V36" s="112"/>
      <c r="X36" s="112"/>
    </row>
    <row r="37">
      <c r="C37" s="129" t="s">
        <v>6</v>
      </c>
      <c r="D37" s="130">
        <v>113.0</v>
      </c>
      <c r="E37" s="130">
        <v>52.0</v>
      </c>
      <c r="F37" s="130">
        <v>40.0</v>
      </c>
      <c r="G37" s="130">
        <v>21.0</v>
      </c>
      <c r="U37" s="111"/>
      <c r="V37" s="113"/>
      <c r="X37" s="113"/>
    </row>
    <row r="38">
      <c r="C38" s="129" t="s">
        <v>7</v>
      </c>
      <c r="D38" s="130">
        <v>177.0</v>
      </c>
      <c r="E38" s="130">
        <v>53.0</v>
      </c>
      <c r="F38" s="130">
        <v>76.0</v>
      </c>
      <c r="G38" s="130">
        <v>11.0</v>
      </c>
      <c r="U38" s="111"/>
      <c r="V38" s="113"/>
      <c r="X38" s="113"/>
    </row>
    <row r="39">
      <c r="C39" s="129" t="s">
        <v>8</v>
      </c>
      <c r="D39" s="130">
        <v>159.0</v>
      </c>
      <c r="E39" s="130">
        <v>65.0</v>
      </c>
      <c r="F39" s="130">
        <v>44.0</v>
      </c>
      <c r="G39" s="130">
        <v>12.0</v>
      </c>
      <c r="U39" s="111"/>
      <c r="V39" s="113"/>
      <c r="X39" s="113"/>
    </row>
    <row r="40">
      <c r="C40" s="129" t="s">
        <v>9</v>
      </c>
      <c r="D40" s="130">
        <v>163.0</v>
      </c>
      <c r="E40" s="130">
        <v>71.0</v>
      </c>
      <c r="F40" s="130">
        <v>49.0</v>
      </c>
      <c r="G40" s="130">
        <v>8.0</v>
      </c>
      <c r="U40" s="111"/>
      <c r="V40" s="119"/>
      <c r="X40" s="119"/>
    </row>
    <row r="41">
      <c r="C41" s="129" t="s">
        <v>10</v>
      </c>
      <c r="D41" s="130">
        <v>245.0</v>
      </c>
      <c r="E41" s="130">
        <v>74.0</v>
      </c>
      <c r="F41" s="130">
        <v>89.0</v>
      </c>
      <c r="G41" s="130">
        <v>39.0</v>
      </c>
      <c r="U41" s="111"/>
      <c r="V41" s="119"/>
      <c r="X41" s="119"/>
    </row>
    <row r="42">
      <c r="C42" s="129" t="s">
        <v>11</v>
      </c>
      <c r="D42" s="130">
        <v>266.0</v>
      </c>
      <c r="E42" s="130">
        <v>107.0</v>
      </c>
      <c r="F42" s="130">
        <v>53.0</v>
      </c>
      <c r="G42" s="130">
        <v>89.0</v>
      </c>
      <c r="U42" s="111"/>
      <c r="V42" s="119"/>
      <c r="X42" s="119"/>
    </row>
    <row r="43">
      <c r="C43" s="129" t="s">
        <v>12</v>
      </c>
      <c r="D43" s="130">
        <v>303.0</v>
      </c>
      <c r="E43" s="130">
        <v>118.0</v>
      </c>
      <c r="F43" s="130">
        <v>54.0</v>
      </c>
      <c r="G43" s="130">
        <v>32.0</v>
      </c>
      <c r="U43" s="111"/>
      <c r="V43" s="119"/>
      <c r="X43" s="119"/>
    </row>
    <row r="44">
      <c r="C44" s="129" t="s">
        <v>13</v>
      </c>
      <c r="D44" s="130">
        <v>233.0</v>
      </c>
      <c r="E44" s="130">
        <v>118.0</v>
      </c>
      <c r="F44" s="130">
        <v>54.0</v>
      </c>
      <c r="G44" s="130">
        <v>25.0</v>
      </c>
      <c r="U44" s="111"/>
      <c r="V44" s="119"/>
      <c r="X44" s="119"/>
    </row>
    <row r="45">
      <c r="C45" s="129" t="s">
        <v>14</v>
      </c>
      <c r="D45" s="130">
        <v>234.0</v>
      </c>
      <c r="E45" s="130">
        <v>106.0</v>
      </c>
      <c r="F45" s="130">
        <v>51.0</v>
      </c>
      <c r="G45" s="130">
        <v>11.0</v>
      </c>
      <c r="U45" s="111"/>
      <c r="V45" s="121"/>
      <c r="X45" s="121"/>
    </row>
    <row r="46">
      <c r="C46" s="129" t="s">
        <v>15</v>
      </c>
      <c r="D46" s="130">
        <v>207.0</v>
      </c>
      <c r="E46" s="130">
        <v>121.0</v>
      </c>
      <c r="F46" s="130">
        <v>36.0</v>
      </c>
      <c r="G46" s="130">
        <v>6.0</v>
      </c>
    </row>
    <row r="47">
      <c r="C47" s="129" t="s">
        <v>16</v>
      </c>
      <c r="D47" s="130">
        <v>121.0</v>
      </c>
      <c r="E47" s="130">
        <v>52.0</v>
      </c>
      <c r="F47" s="130">
        <v>17.0</v>
      </c>
      <c r="G47" s="130">
        <v>7.0</v>
      </c>
    </row>
    <row r="48">
      <c r="C48" s="129" t="s">
        <v>17</v>
      </c>
      <c r="D48" s="131">
        <v>2376.0</v>
      </c>
      <c r="E48" s="131">
        <v>937.0</v>
      </c>
      <c r="F48" s="131">
        <v>563.0</v>
      </c>
      <c r="G48" s="131">
        <v>261.0</v>
      </c>
    </row>
    <row r="70">
      <c r="B70" s="132" t="s">
        <v>3</v>
      </c>
      <c r="C70" s="133" t="s">
        <v>26</v>
      </c>
      <c r="D70" s="133" t="s">
        <v>62</v>
      </c>
      <c r="E70" s="133" t="s">
        <v>63</v>
      </c>
      <c r="F70" s="133" t="s">
        <v>64</v>
      </c>
    </row>
    <row r="71">
      <c r="B71" s="134" t="s">
        <v>4</v>
      </c>
      <c r="C71" s="135">
        <v>155.0</v>
      </c>
      <c r="D71" s="135">
        <v>0.0</v>
      </c>
      <c r="E71" s="135">
        <v>0.0</v>
      </c>
      <c r="F71" s="135">
        <v>0.0</v>
      </c>
    </row>
    <row r="72">
      <c r="B72" s="134" t="s">
        <v>6</v>
      </c>
      <c r="C72" s="135">
        <v>113.0</v>
      </c>
      <c r="D72" s="135">
        <v>52.0</v>
      </c>
      <c r="E72" s="135">
        <v>40.0</v>
      </c>
      <c r="F72" s="135">
        <v>21.0</v>
      </c>
    </row>
    <row r="73">
      <c r="B73" s="134" t="s">
        <v>7</v>
      </c>
      <c r="C73" s="135">
        <v>177.0</v>
      </c>
      <c r="D73" s="135">
        <v>53.0</v>
      </c>
      <c r="E73" s="135">
        <v>76.0</v>
      </c>
      <c r="F73" s="135">
        <v>11.0</v>
      </c>
    </row>
    <row r="74">
      <c r="B74" s="134" t="s">
        <v>8</v>
      </c>
      <c r="C74" s="135">
        <v>159.0</v>
      </c>
      <c r="D74" s="135">
        <v>65.0</v>
      </c>
      <c r="E74" s="135">
        <v>44.0</v>
      </c>
      <c r="F74" s="135">
        <v>12.0</v>
      </c>
    </row>
    <row r="75">
      <c r="B75" s="134" t="s">
        <v>9</v>
      </c>
      <c r="C75" s="135">
        <v>163.0</v>
      </c>
      <c r="D75" s="135">
        <v>71.0</v>
      </c>
      <c r="E75" s="135">
        <v>49.0</v>
      </c>
      <c r="F75" s="135">
        <v>8.0</v>
      </c>
    </row>
    <row r="76">
      <c r="B76" s="134" t="s">
        <v>10</v>
      </c>
      <c r="C76" s="135">
        <v>245.0</v>
      </c>
      <c r="D76" s="135">
        <v>74.0</v>
      </c>
      <c r="E76" s="135">
        <v>89.0</v>
      </c>
      <c r="F76" s="135">
        <v>39.0</v>
      </c>
    </row>
    <row r="77">
      <c r="B77" s="134" t="s">
        <v>11</v>
      </c>
      <c r="C77" s="135">
        <v>266.0</v>
      </c>
      <c r="D77" s="135">
        <v>107.0</v>
      </c>
      <c r="E77" s="135">
        <v>53.0</v>
      </c>
      <c r="F77" s="135">
        <v>89.0</v>
      </c>
    </row>
    <row r="78">
      <c r="B78" s="134" t="s">
        <v>12</v>
      </c>
      <c r="C78" s="135">
        <v>303.0</v>
      </c>
      <c r="D78" s="135">
        <v>118.0</v>
      </c>
      <c r="E78" s="135">
        <v>54.0</v>
      </c>
      <c r="F78" s="135">
        <v>32.0</v>
      </c>
    </row>
    <row r="79">
      <c r="B79" s="134" t="s">
        <v>13</v>
      </c>
      <c r="C79" s="135">
        <v>233.0</v>
      </c>
      <c r="D79" s="135">
        <v>118.0</v>
      </c>
      <c r="E79" s="135">
        <v>54.0</v>
      </c>
      <c r="F79" s="135">
        <v>25.0</v>
      </c>
    </row>
    <row r="80">
      <c r="B80" s="134" t="s">
        <v>14</v>
      </c>
      <c r="C80" s="135">
        <v>234.0</v>
      </c>
      <c r="D80" s="135">
        <v>106.0</v>
      </c>
      <c r="E80" s="135">
        <v>51.0</v>
      </c>
      <c r="F80" s="135">
        <v>11.0</v>
      </c>
    </row>
    <row r="81">
      <c r="B81" s="134" t="s">
        <v>15</v>
      </c>
      <c r="C81" s="135">
        <v>207.0</v>
      </c>
      <c r="D81" s="135">
        <v>121.0</v>
      </c>
      <c r="E81" s="135">
        <v>36.0</v>
      </c>
      <c r="F81" s="135">
        <v>6.0</v>
      </c>
    </row>
    <row r="82">
      <c r="B82" s="134" t="s">
        <v>16</v>
      </c>
      <c r="C82" s="135">
        <v>121.0</v>
      </c>
      <c r="D82" s="135">
        <v>52.0</v>
      </c>
      <c r="E82" s="135">
        <v>17.0</v>
      </c>
      <c r="F82" s="135">
        <v>7.0</v>
      </c>
    </row>
    <row r="83">
      <c r="B83" s="134" t="s">
        <v>17</v>
      </c>
      <c r="C83" s="136">
        <v>2376.0</v>
      </c>
      <c r="D83" s="136">
        <v>937.0</v>
      </c>
      <c r="E83" s="136">
        <v>563.0</v>
      </c>
      <c r="F83" s="136">
        <v>261.0</v>
      </c>
    </row>
    <row r="93">
      <c r="A93" s="137"/>
      <c r="B93" s="138"/>
      <c r="C93" s="138"/>
      <c r="D93" s="138"/>
      <c r="E93" s="138"/>
      <c r="F93" s="138"/>
      <c r="G93" s="138"/>
      <c r="H93" s="138"/>
      <c r="I93" s="138"/>
      <c r="J93" s="140"/>
      <c r="K93" s="140"/>
      <c r="L93" s="140"/>
      <c r="M93" s="140"/>
      <c r="N93" s="138"/>
    </row>
    <row r="94">
      <c r="A94" s="141"/>
      <c r="B94" s="65"/>
      <c r="C94" s="65"/>
      <c r="D94" s="65"/>
      <c r="E94" s="142"/>
      <c r="F94" s="85"/>
      <c r="G94" s="65"/>
      <c r="H94" s="65"/>
      <c r="I94" s="65"/>
      <c r="J94" s="65"/>
      <c r="K94" s="85"/>
      <c r="L94" s="85"/>
      <c r="M94" s="65"/>
      <c r="N94" s="143"/>
    </row>
    <row r="95">
      <c r="A95" s="13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1"/>
    </row>
    <row r="96">
      <c r="A96" s="13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1"/>
    </row>
    <row r="97">
      <c r="A97" s="13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1"/>
    </row>
    <row r="103">
      <c r="A103" s="144" t="s">
        <v>78</v>
      </c>
      <c r="B103" s="144" t="s">
        <v>79</v>
      </c>
    </row>
    <row r="104">
      <c r="A104" s="67" t="s">
        <v>80</v>
      </c>
      <c r="B104" s="145">
        <v>2267.0</v>
      </c>
      <c r="Q104" s="146" t="s">
        <v>3</v>
      </c>
      <c r="R104" s="146" t="s">
        <v>26</v>
      </c>
      <c r="S104" s="146" t="s">
        <v>62</v>
      </c>
      <c r="T104" s="146" t="s">
        <v>63</v>
      </c>
      <c r="U104" s="146" t="s">
        <v>64</v>
      </c>
    </row>
    <row r="105">
      <c r="A105" s="67" t="s">
        <v>81</v>
      </c>
      <c r="B105" s="145">
        <v>1975.0</v>
      </c>
      <c r="Q105" s="146" t="s">
        <v>4</v>
      </c>
      <c r="R105" s="147">
        <v>155.0</v>
      </c>
      <c r="S105" s="148">
        <v>0.0</v>
      </c>
      <c r="T105" s="148">
        <v>0.0</v>
      </c>
      <c r="U105" s="148">
        <v>0.0</v>
      </c>
    </row>
    <row r="106">
      <c r="A106" s="67" t="s">
        <v>82</v>
      </c>
      <c r="B106" s="145">
        <v>525.0</v>
      </c>
      <c r="Q106" s="146" t="s">
        <v>6</v>
      </c>
      <c r="R106" s="147">
        <v>113.0</v>
      </c>
      <c r="S106" s="147">
        <v>52.0</v>
      </c>
      <c r="T106" s="147">
        <v>40.0</v>
      </c>
      <c r="U106" s="147">
        <v>21.0</v>
      </c>
    </row>
    <row r="107">
      <c r="A107" s="67" t="s">
        <v>83</v>
      </c>
      <c r="B107" s="145">
        <v>206.0</v>
      </c>
      <c r="Q107" s="146" t="s">
        <v>7</v>
      </c>
      <c r="R107" s="147">
        <v>177.0</v>
      </c>
      <c r="S107" s="147">
        <v>53.0</v>
      </c>
      <c r="T107" s="147">
        <v>76.0</v>
      </c>
      <c r="U107" s="147">
        <v>11.0</v>
      </c>
    </row>
    <row r="108">
      <c r="A108" s="67" t="s">
        <v>84</v>
      </c>
      <c r="B108" s="145">
        <v>146.0</v>
      </c>
      <c r="Q108" s="146" t="s">
        <v>8</v>
      </c>
      <c r="R108" s="147">
        <v>159.0</v>
      </c>
      <c r="S108" s="147">
        <v>65.0</v>
      </c>
      <c r="T108" s="147">
        <v>44.0</v>
      </c>
      <c r="U108" s="147">
        <v>12.0</v>
      </c>
    </row>
    <row r="109">
      <c r="A109" s="67" t="s">
        <v>85</v>
      </c>
      <c r="B109" s="145">
        <v>102.0</v>
      </c>
      <c r="Q109" s="146" t="s">
        <v>9</v>
      </c>
      <c r="R109" s="147">
        <v>163.0</v>
      </c>
      <c r="S109" s="147">
        <v>71.0</v>
      </c>
      <c r="T109" s="147">
        <v>49.0</v>
      </c>
      <c r="U109" s="147">
        <v>8.0</v>
      </c>
    </row>
    <row r="110">
      <c r="A110" s="67" t="s">
        <v>86</v>
      </c>
      <c r="B110" s="145">
        <v>96.0</v>
      </c>
      <c r="Q110" s="146" t="s">
        <v>10</v>
      </c>
      <c r="R110" s="147">
        <v>245.0</v>
      </c>
      <c r="S110" s="147">
        <v>74.0</v>
      </c>
      <c r="T110" s="147">
        <v>89.0</v>
      </c>
      <c r="U110" s="147">
        <v>39.0</v>
      </c>
    </row>
    <row r="111">
      <c r="A111" s="67" t="s">
        <v>87</v>
      </c>
      <c r="B111" s="145">
        <v>81.0</v>
      </c>
      <c r="Q111" s="146" t="s">
        <v>11</v>
      </c>
      <c r="R111" s="147">
        <v>266.0</v>
      </c>
      <c r="S111" s="147">
        <v>107.0</v>
      </c>
      <c r="T111" s="147">
        <v>53.0</v>
      </c>
      <c r="U111" s="147">
        <v>89.0</v>
      </c>
    </row>
    <row r="112">
      <c r="A112" s="67" t="s">
        <v>88</v>
      </c>
      <c r="B112" s="145">
        <v>74.0</v>
      </c>
      <c r="Q112" s="146" t="s">
        <v>12</v>
      </c>
      <c r="R112" s="147">
        <v>303.0</v>
      </c>
      <c r="S112" s="147">
        <v>118.0</v>
      </c>
      <c r="T112" s="147">
        <v>54.0</v>
      </c>
      <c r="U112" s="147">
        <v>32.0</v>
      </c>
    </row>
    <row r="113">
      <c r="A113" s="67" t="s">
        <v>89</v>
      </c>
      <c r="B113" s="145">
        <v>49.0</v>
      </c>
      <c r="Q113" s="146" t="s">
        <v>13</v>
      </c>
      <c r="R113" s="147">
        <v>233.0</v>
      </c>
      <c r="S113" s="147">
        <v>118.0</v>
      </c>
      <c r="T113" s="147">
        <v>54.0</v>
      </c>
      <c r="U113" s="147">
        <v>25.0</v>
      </c>
    </row>
    <row r="114">
      <c r="A114" s="67" t="s">
        <v>90</v>
      </c>
      <c r="B114" s="67">
        <v>43.0</v>
      </c>
      <c r="Q114" s="146" t="s">
        <v>14</v>
      </c>
      <c r="R114" s="147">
        <v>234.0</v>
      </c>
      <c r="S114" s="147">
        <v>106.0</v>
      </c>
      <c r="T114" s="147">
        <v>51.0</v>
      </c>
      <c r="U114" s="147">
        <v>11.0</v>
      </c>
    </row>
    <row r="115">
      <c r="A115" s="67" t="s">
        <v>91</v>
      </c>
      <c r="B115" s="67">
        <v>42.0</v>
      </c>
      <c r="Q115" s="146" t="s">
        <v>15</v>
      </c>
      <c r="R115" s="147">
        <v>207.0</v>
      </c>
      <c r="S115" s="147">
        <v>121.0</v>
      </c>
      <c r="T115" s="147">
        <v>36.0</v>
      </c>
      <c r="U115" s="147">
        <v>6.0</v>
      </c>
    </row>
    <row r="116">
      <c r="A116" s="67" t="s">
        <v>92</v>
      </c>
      <c r="B116" s="67">
        <v>42.0</v>
      </c>
      <c r="Q116" s="146" t="s">
        <v>16</v>
      </c>
      <c r="R116" s="147">
        <v>121.0</v>
      </c>
      <c r="S116" s="147">
        <v>52.0</v>
      </c>
      <c r="T116" s="147">
        <v>17.0</v>
      </c>
      <c r="U116" s="147">
        <v>7.0</v>
      </c>
    </row>
    <row r="117">
      <c r="A117" s="67" t="s">
        <v>93</v>
      </c>
      <c r="B117" s="67">
        <v>34.0</v>
      </c>
      <c r="Q117" s="146" t="s">
        <v>17</v>
      </c>
      <c r="R117" s="146">
        <v>2376.0</v>
      </c>
      <c r="S117" s="146">
        <v>937.0</v>
      </c>
      <c r="T117" s="146">
        <v>563.0</v>
      </c>
      <c r="U117" s="146">
        <v>261.0</v>
      </c>
    </row>
    <row r="118">
      <c r="A118" s="67" t="s">
        <v>94</v>
      </c>
      <c r="B118" s="67">
        <v>31.0</v>
      </c>
    </row>
    <row r="119">
      <c r="A119" s="67" t="s">
        <v>95</v>
      </c>
      <c r="B119" s="67">
        <v>31.0</v>
      </c>
    </row>
    <row r="120">
      <c r="A120" s="67" t="s">
        <v>96</v>
      </c>
      <c r="B120" s="67">
        <v>23.0</v>
      </c>
    </row>
    <row r="121">
      <c r="A121" s="67" t="s">
        <v>97</v>
      </c>
      <c r="B121" s="67">
        <v>19.0</v>
      </c>
    </row>
    <row r="122">
      <c r="A122" s="67" t="s">
        <v>98</v>
      </c>
      <c r="B122" s="67">
        <v>18.0</v>
      </c>
    </row>
    <row r="123">
      <c r="A123" s="67" t="s">
        <v>99</v>
      </c>
      <c r="B123" s="67">
        <v>16.0</v>
      </c>
    </row>
    <row r="124">
      <c r="A124" s="67" t="s">
        <v>100</v>
      </c>
      <c r="B124" s="67">
        <v>15.0</v>
      </c>
    </row>
    <row r="125">
      <c r="A125" s="67" t="s">
        <v>101</v>
      </c>
      <c r="B125" s="67">
        <v>13.0</v>
      </c>
    </row>
    <row r="126">
      <c r="A126" s="67" t="s">
        <v>102</v>
      </c>
      <c r="B126" s="67">
        <v>12.0</v>
      </c>
    </row>
    <row r="127">
      <c r="A127" s="67" t="s">
        <v>103</v>
      </c>
      <c r="B127" s="67">
        <v>11.0</v>
      </c>
    </row>
    <row r="128">
      <c r="A128" s="67" t="s">
        <v>104</v>
      </c>
      <c r="B128" s="67">
        <v>10.0</v>
      </c>
    </row>
    <row r="129">
      <c r="A129" s="67" t="s">
        <v>105</v>
      </c>
      <c r="B129" s="67">
        <v>10.0</v>
      </c>
    </row>
    <row r="130">
      <c r="A130" s="67" t="s">
        <v>106</v>
      </c>
      <c r="B130" s="67">
        <v>9.0</v>
      </c>
    </row>
    <row r="131">
      <c r="A131" s="67" t="s">
        <v>107</v>
      </c>
      <c r="B131" s="67">
        <v>9.0</v>
      </c>
    </row>
    <row r="132">
      <c r="A132" s="67" t="s">
        <v>108</v>
      </c>
      <c r="B132" s="67">
        <v>8.0</v>
      </c>
    </row>
    <row r="133">
      <c r="A133" s="67" t="s">
        <v>109</v>
      </c>
      <c r="B133" s="67">
        <v>8.0</v>
      </c>
    </row>
    <row r="134">
      <c r="A134" s="67" t="s">
        <v>110</v>
      </c>
      <c r="B134" s="67">
        <v>7.0</v>
      </c>
    </row>
    <row r="135">
      <c r="A135" s="67" t="s">
        <v>111</v>
      </c>
      <c r="B135" s="67">
        <v>7.0</v>
      </c>
    </row>
    <row r="136">
      <c r="A136" s="67" t="s">
        <v>112</v>
      </c>
      <c r="B136" s="67">
        <v>6.0</v>
      </c>
    </row>
    <row r="137">
      <c r="A137" s="67" t="s">
        <v>113</v>
      </c>
      <c r="B137" s="67">
        <v>6.0</v>
      </c>
    </row>
    <row r="138">
      <c r="A138" s="67" t="s">
        <v>114</v>
      </c>
      <c r="B138" s="67">
        <v>6.0</v>
      </c>
    </row>
    <row r="139">
      <c r="A139" s="67" t="s">
        <v>115</v>
      </c>
      <c r="B139" s="67">
        <v>6.0</v>
      </c>
    </row>
    <row r="140">
      <c r="A140" s="67" t="s">
        <v>116</v>
      </c>
      <c r="B140" s="67">
        <v>5.0</v>
      </c>
    </row>
    <row r="141">
      <c r="A141" s="67" t="s">
        <v>117</v>
      </c>
      <c r="B141" s="67">
        <v>5.0</v>
      </c>
    </row>
    <row r="142">
      <c r="A142" s="67" t="s">
        <v>118</v>
      </c>
      <c r="B142" s="67">
        <v>4.0</v>
      </c>
    </row>
    <row r="143">
      <c r="A143" s="67" t="s">
        <v>119</v>
      </c>
      <c r="B143" s="67">
        <v>4.0</v>
      </c>
    </row>
    <row r="144">
      <c r="A144" s="67" t="s">
        <v>120</v>
      </c>
      <c r="B144" s="67">
        <v>4.0</v>
      </c>
    </row>
    <row r="145">
      <c r="A145" s="67" t="s">
        <v>121</v>
      </c>
      <c r="B145" s="67">
        <v>3.0</v>
      </c>
    </row>
    <row r="146">
      <c r="A146" s="67" t="s">
        <v>122</v>
      </c>
      <c r="B146" s="67">
        <v>3.0</v>
      </c>
    </row>
    <row r="147">
      <c r="A147" s="67" t="s">
        <v>123</v>
      </c>
      <c r="B147" s="67">
        <v>3.0</v>
      </c>
    </row>
    <row r="148">
      <c r="A148" s="67" t="s">
        <v>124</v>
      </c>
      <c r="B148" s="67">
        <v>3.0</v>
      </c>
    </row>
    <row r="149">
      <c r="A149" s="67" t="s">
        <v>125</v>
      </c>
      <c r="B149" s="67">
        <v>3.0</v>
      </c>
    </row>
    <row r="150">
      <c r="A150" s="67" t="s">
        <v>126</v>
      </c>
      <c r="B150" s="67">
        <v>3.0</v>
      </c>
    </row>
    <row r="151">
      <c r="A151" s="67" t="s">
        <v>127</v>
      </c>
      <c r="B151" s="67">
        <v>3.0</v>
      </c>
    </row>
    <row r="152">
      <c r="A152" s="67" t="s">
        <v>128</v>
      </c>
      <c r="B152" s="67">
        <v>2.0</v>
      </c>
    </row>
    <row r="153">
      <c r="A153" s="67" t="s">
        <v>129</v>
      </c>
      <c r="B153" s="67">
        <v>2.0</v>
      </c>
    </row>
    <row r="154">
      <c r="A154" s="67" t="s">
        <v>130</v>
      </c>
      <c r="B154" s="67">
        <v>2.0</v>
      </c>
    </row>
    <row r="155">
      <c r="A155" s="67" t="s">
        <v>131</v>
      </c>
      <c r="B155" s="67">
        <v>2.0</v>
      </c>
    </row>
    <row r="156">
      <c r="A156" s="67" t="s">
        <v>132</v>
      </c>
      <c r="B156" s="67">
        <v>2.0</v>
      </c>
    </row>
    <row r="157">
      <c r="A157" s="67" t="s">
        <v>133</v>
      </c>
      <c r="B157" s="67">
        <v>2.0</v>
      </c>
    </row>
    <row r="158">
      <c r="A158" s="67" t="s">
        <v>134</v>
      </c>
      <c r="B158" s="67">
        <v>2.0</v>
      </c>
    </row>
    <row r="159">
      <c r="A159" s="67" t="s">
        <v>135</v>
      </c>
      <c r="B159" s="67">
        <v>2.0</v>
      </c>
    </row>
    <row r="160">
      <c r="A160" s="67" t="s">
        <v>136</v>
      </c>
      <c r="B160" s="67">
        <v>2.0</v>
      </c>
    </row>
    <row r="161">
      <c r="A161" s="67" t="s">
        <v>137</v>
      </c>
      <c r="B161" s="67">
        <v>2.0</v>
      </c>
    </row>
    <row r="162">
      <c r="A162" s="67" t="s">
        <v>138</v>
      </c>
      <c r="B162" s="67">
        <v>2.0</v>
      </c>
    </row>
    <row r="163">
      <c r="A163" s="67" t="s">
        <v>139</v>
      </c>
      <c r="B163" s="67">
        <v>2.0</v>
      </c>
    </row>
    <row r="164">
      <c r="A164" s="67" t="s">
        <v>140</v>
      </c>
      <c r="B164" s="67">
        <v>2.0</v>
      </c>
    </row>
    <row r="165">
      <c r="A165" s="67" t="s">
        <v>141</v>
      </c>
      <c r="B165" s="67">
        <v>2.0</v>
      </c>
    </row>
    <row r="166">
      <c r="A166" s="67" t="s">
        <v>142</v>
      </c>
      <c r="B166" s="67">
        <v>2.0</v>
      </c>
    </row>
    <row r="167">
      <c r="A167" s="67" t="s">
        <v>143</v>
      </c>
      <c r="B167" s="67">
        <v>1.0</v>
      </c>
    </row>
    <row r="168">
      <c r="A168" s="67" t="s">
        <v>144</v>
      </c>
      <c r="B168" s="67">
        <v>1.0</v>
      </c>
    </row>
    <row r="169">
      <c r="A169" s="67" t="s">
        <v>145</v>
      </c>
      <c r="B169" s="67">
        <v>1.0</v>
      </c>
    </row>
    <row r="170">
      <c r="A170" s="67" t="s">
        <v>146</v>
      </c>
      <c r="B170" s="67">
        <v>1.0</v>
      </c>
    </row>
    <row r="171">
      <c r="A171" s="67" t="s">
        <v>147</v>
      </c>
      <c r="B171" s="67">
        <v>1.0</v>
      </c>
    </row>
    <row r="172">
      <c r="A172" s="67" t="s">
        <v>148</v>
      </c>
      <c r="B172" s="67">
        <v>1.0</v>
      </c>
    </row>
    <row r="173">
      <c r="A173" s="67" t="s">
        <v>149</v>
      </c>
      <c r="B173" s="67">
        <v>1.0</v>
      </c>
    </row>
    <row r="174">
      <c r="A174" s="67" t="s">
        <v>150</v>
      </c>
      <c r="B174" s="67">
        <v>1.0</v>
      </c>
    </row>
    <row r="175">
      <c r="A175" s="67" t="s">
        <v>151</v>
      </c>
      <c r="B175" s="67">
        <v>1.0</v>
      </c>
    </row>
    <row r="176">
      <c r="A176" s="67" t="s">
        <v>152</v>
      </c>
      <c r="B176" s="67">
        <v>1.0</v>
      </c>
    </row>
    <row r="177">
      <c r="A177" s="67" t="s">
        <v>153</v>
      </c>
      <c r="B177" s="67">
        <v>1.0</v>
      </c>
    </row>
    <row r="178">
      <c r="A178" s="67" t="s">
        <v>154</v>
      </c>
      <c r="B178" s="67">
        <v>1.0</v>
      </c>
    </row>
    <row r="179">
      <c r="A179" s="67" t="s">
        <v>155</v>
      </c>
      <c r="B179" s="67">
        <v>1.0</v>
      </c>
    </row>
    <row r="180">
      <c r="A180" s="67" t="s">
        <v>156</v>
      </c>
      <c r="B180" s="67">
        <v>1.0</v>
      </c>
    </row>
    <row r="181">
      <c r="A181" s="67" t="s">
        <v>157</v>
      </c>
      <c r="B181" s="67">
        <v>1.0</v>
      </c>
    </row>
    <row r="182">
      <c r="A182" s="67" t="s">
        <v>158</v>
      </c>
      <c r="B182" s="67">
        <v>1.0</v>
      </c>
    </row>
    <row r="183">
      <c r="A183" s="67" t="s">
        <v>160</v>
      </c>
      <c r="B183" s="67">
        <v>1.0</v>
      </c>
    </row>
    <row r="184">
      <c r="A184" s="67" t="s">
        <v>161</v>
      </c>
      <c r="B184" s="67">
        <v>1.0</v>
      </c>
    </row>
    <row r="185">
      <c r="A185" s="67" t="s">
        <v>162</v>
      </c>
      <c r="B185" s="67">
        <v>1.0</v>
      </c>
    </row>
    <row r="186">
      <c r="A186" s="67" t="s">
        <v>163</v>
      </c>
      <c r="B186" s="67">
        <v>1.0</v>
      </c>
    </row>
    <row r="187">
      <c r="A187" s="67" t="s">
        <v>164</v>
      </c>
      <c r="B187" s="67">
        <v>1.0</v>
      </c>
    </row>
    <row r="188">
      <c r="A188" s="67" t="s">
        <v>165</v>
      </c>
      <c r="B188" s="67">
        <v>1.0</v>
      </c>
    </row>
    <row r="189">
      <c r="A189" s="67" t="s">
        <v>166</v>
      </c>
      <c r="B189" s="67">
        <v>1.0</v>
      </c>
    </row>
    <row r="190">
      <c r="A190" s="67" t="s">
        <v>167</v>
      </c>
      <c r="B190" s="67">
        <v>1.0</v>
      </c>
    </row>
    <row r="191">
      <c r="A191" s="67" t="s">
        <v>168</v>
      </c>
      <c r="B191" s="67">
        <v>1.0</v>
      </c>
    </row>
    <row r="192">
      <c r="A192" s="67" t="s">
        <v>169</v>
      </c>
      <c r="B192" s="67">
        <v>1.0</v>
      </c>
    </row>
    <row r="193">
      <c r="A193" s="67" t="s">
        <v>170</v>
      </c>
      <c r="B193" s="67">
        <v>1.0</v>
      </c>
    </row>
    <row r="194">
      <c r="A194" s="67" t="s">
        <v>171</v>
      </c>
      <c r="B194" s="67">
        <v>1.0</v>
      </c>
    </row>
    <row r="195">
      <c r="A195" s="67" t="s">
        <v>172</v>
      </c>
      <c r="B195" s="67">
        <v>1.0</v>
      </c>
    </row>
    <row r="196">
      <c r="A196" s="67" t="s">
        <v>173</v>
      </c>
      <c r="B196" s="67">
        <v>1.0</v>
      </c>
    </row>
    <row r="197">
      <c r="A197" s="67" t="s">
        <v>174</v>
      </c>
      <c r="B197" s="67">
        <v>1.0</v>
      </c>
    </row>
    <row r="198">
      <c r="A198" s="67" t="s">
        <v>175</v>
      </c>
      <c r="B198" s="67">
        <v>1.0</v>
      </c>
    </row>
    <row r="199">
      <c r="A199" s="67" t="s">
        <v>176</v>
      </c>
      <c r="B199" s="67">
        <v>1.0</v>
      </c>
    </row>
    <row r="200">
      <c r="A200" s="67" t="s">
        <v>177</v>
      </c>
      <c r="B200" s="67">
        <v>1.0</v>
      </c>
    </row>
    <row r="201">
      <c r="A201" s="67" t="s">
        <v>178</v>
      </c>
      <c r="B201" s="67">
        <v>1.0</v>
      </c>
    </row>
    <row r="202">
      <c r="A202" s="67" t="s">
        <v>179</v>
      </c>
      <c r="B202" s="67">
        <v>1.0</v>
      </c>
    </row>
    <row r="203">
      <c r="A203" s="67" t="s">
        <v>180</v>
      </c>
      <c r="B203" s="67">
        <v>1.0</v>
      </c>
    </row>
    <row r="204">
      <c r="A204" s="67" t="s">
        <v>181</v>
      </c>
      <c r="B204" s="67">
        <v>1.0</v>
      </c>
    </row>
    <row r="205">
      <c r="A205" s="67" t="s">
        <v>182</v>
      </c>
      <c r="B205" s="67">
        <v>1.0</v>
      </c>
    </row>
    <row r="206">
      <c r="A206" s="67" t="s">
        <v>183</v>
      </c>
      <c r="B206" s="67">
        <v>1.0</v>
      </c>
    </row>
    <row r="207">
      <c r="A207" s="67" t="s">
        <v>184</v>
      </c>
      <c r="B207" s="67">
        <v>1.0</v>
      </c>
    </row>
    <row r="208">
      <c r="A208" s="67" t="s">
        <v>185</v>
      </c>
      <c r="B208" s="67">
        <v>1.0</v>
      </c>
    </row>
    <row r="209">
      <c r="A209" s="67" t="s">
        <v>186</v>
      </c>
      <c r="B209" s="67">
        <v>1.0</v>
      </c>
    </row>
    <row r="214">
      <c r="A214" s="144" t="s">
        <v>187</v>
      </c>
      <c r="B214" s="144" t="s">
        <v>79</v>
      </c>
    </row>
    <row r="215">
      <c r="A215" s="169" t="s">
        <v>81</v>
      </c>
      <c r="B215" s="24">
        <v>722.0</v>
      </c>
    </row>
    <row r="216">
      <c r="A216" s="169" t="s">
        <v>80</v>
      </c>
      <c r="B216" s="24">
        <v>649.0</v>
      </c>
    </row>
    <row r="217">
      <c r="A217" s="169" t="s">
        <v>82</v>
      </c>
      <c r="B217" s="24">
        <v>130.0</v>
      </c>
    </row>
    <row r="218">
      <c r="A218" s="169" t="s">
        <v>96</v>
      </c>
      <c r="B218" s="24">
        <v>51.0</v>
      </c>
    </row>
    <row r="219">
      <c r="A219" s="172" t="s">
        <v>89</v>
      </c>
      <c r="B219" s="24">
        <v>46.0</v>
      </c>
    </row>
    <row r="220">
      <c r="A220" s="172" t="s">
        <v>142</v>
      </c>
      <c r="B220" s="24">
        <v>43.0</v>
      </c>
    </row>
    <row r="221">
      <c r="A221" s="172" t="s">
        <v>84</v>
      </c>
      <c r="B221" s="24">
        <v>32.0</v>
      </c>
    </row>
    <row r="222">
      <c r="A222" s="169" t="s">
        <v>86</v>
      </c>
      <c r="B222" s="24">
        <v>29.0</v>
      </c>
    </row>
    <row r="223">
      <c r="A223" s="172" t="s">
        <v>90</v>
      </c>
      <c r="B223" s="24">
        <v>26.0</v>
      </c>
    </row>
    <row r="224">
      <c r="A224" s="172" t="s">
        <v>83</v>
      </c>
      <c r="B224" s="24">
        <v>24.0</v>
      </c>
    </row>
    <row r="225">
      <c r="A225" s="169" t="s">
        <v>105</v>
      </c>
      <c r="B225" s="24">
        <v>21.0</v>
      </c>
    </row>
    <row r="226">
      <c r="A226" s="169" t="s">
        <v>92</v>
      </c>
      <c r="B226" s="24">
        <v>16.0</v>
      </c>
    </row>
    <row r="227">
      <c r="A227" s="169" t="s">
        <v>107</v>
      </c>
      <c r="B227" s="24">
        <v>14.0</v>
      </c>
    </row>
    <row r="228">
      <c r="A228" s="172" t="s">
        <v>141</v>
      </c>
      <c r="B228" s="24">
        <v>13.0</v>
      </c>
    </row>
    <row r="229">
      <c r="A229" s="172" t="s">
        <v>134</v>
      </c>
      <c r="B229" s="24">
        <v>13.0</v>
      </c>
    </row>
    <row r="230">
      <c r="A230" s="172" t="s">
        <v>95</v>
      </c>
      <c r="B230" s="24">
        <v>12.0</v>
      </c>
    </row>
    <row r="231">
      <c r="A231" s="172" t="s">
        <v>113</v>
      </c>
      <c r="B231" s="24">
        <v>8.0</v>
      </c>
    </row>
    <row r="232">
      <c r="A232" s="169" t="s">
        <v>115</v>
      </c>
      <c r="B232" s="24">
        <v>8.0</v>
      </c>
    </row>
    <row r="233">
      <c r="A233" s="172" t="s">
        <v>102</v>
      </c>
      <c r="B233" s="24">
        <v>7.0</v>
      </c>
    </row>
    <row r="234">
      <c r="A234" s="172" t="s">
        <v>104</v>
      </c>
      <c r="B234" s="24">
        <v>7.0</v>
      </c>
    </row>
    <row r="235">
      <c r="A235" s="169" t="s">
        <v>106</v>
      </c>
      <c r="B235" s="24">
        <v>7.0</v>
      </c>
    </row>
    <row r="236">
      <c r="A236" s="169" t="s">
        <v>109</v>
      </c>
      <c r="B236" s="24">
        <v>7.0</v>
      </c>
    </row>
    <row r="237">
      <c r="A237" s="172" t="s">
        <v>85</v>
      </c>
      <c r="B237" s="24">
        <v>6.0</v>
      </c>
    </row>
    <row r="238">
      <c r="A238" s="172" t="s">
        <v>189</v>
      </c>
      <c r="B238" s="24">
        <v>4.0</v>
      </c>
    </row>
    <row r="239">
      <c r="A239" s="172" t="s">
        <v>190</v>
      </c>
      <c r="B239" s="24">
        <v>4.0</v>
      </c>
    </row>
    <row r="240">
      <c r="A240" s="172" t="s">
        <v>101</v>
      </c>
      <c r="B240" s="24">
        <v>4.0</v>
      </c>
    </row>
    <row r="241">
      <c r="A241" s="169" t="s">
        <v>108</v>
      </c>
      <c r="B241" s="24">
        <v>4.0</v>
      </c>
    </row>
    <row r="242">
      <c r="A242" s="174" t="s">
        <v>94</v>
      </c>
      <c r="B242" s="24">
        <v>4.0</v>
      </c>
    </row>
    <row r="243">
      <c r="A243" s="172" t="s">
        <v>191</v>
      </c>
      <c r="B243" s="24">
        <v>4.0</v>
      </c>
    </row>
    <row r="244">
      <c r="A244" s="172" t="s">
        <v>123</v>
      </c>
      <c r="B244" s="24">
        <v>4.0</v>
      </c>
    </row>
    <row r="245">
      <c r="A245" s="172" t="s">
        <v>120</v>
      </c>
      <c r="B245" s="24">
        <v>3.0</v>
      </c>
    </row>
    <row r="246">
      <c r="A246" s="172" t="s">
        <v>116</v>
      </c>
      <c r="B246" s="24">
        <v>3.0</v>
      </c>
    </row>
    <row r="247">
      <c r="A247" s="169" t="s">
        <v>111</v>
      </c>
      <c r="B247" s="24">
        <v>3.0</v>
      </c>
    </row>
    <row r="248">
      <c r="A248" s="174" t="s">
        <v>192</v>
      </c>
      <c r="B248" s="24">
        <v>2.0</v>
      </c>
    </row>
    <row r="249">
      <c r="A249" s="169" t="s">
        <v>193</v>
      </c>
      <c r="B249" s="24">
        <v>2.0</v>
      </c>
    </row>
    <row r="250">
      <c r="A250" s="172" t="s">
        <v>194</v>
      </c>
      <c r="B250" s="24">
        <v>2.0</v>
      </c>
    </row>
    <row r="251">
      <c r="A251" s="64" t="s">
        <v>195</v>
      </c>
      <c r="B251" s="24">
        <v>2.0</v>
      </c>
    </row>
    <row r="252">
      <c r="A252" s="172" t="s">
        <v>114</v>
      </c>
      <c r="B252" s="24">
        <v>2.0</v>
      </c>
    </row>
    <row r="253">
      <c r="A253" s="172" t="s">
        <v>178</v>
      </c>
      <c r="B253" s="24">
        <v>2.0</v>
      </c>
    </row>
    <row r="254">
      <c r="A254" s="172" t="s">
        <v>136</v>
      </c>
      <c r="B254" s="24">
        <v>2.0</v>
      </c>
    </row>
    <row r="255">
      <c r="A255" s="172" t="s">
        <v>196</v>
      </c>
      <c r="B255" s="24">
        <v>2.0</v>
      </c>
    </row>
    <row r="256">
      <c r="A256" s="172" t="s">
        <v>197</v>
      </c>
      <c r="B256" s="24">
        <v>2.0</v>
      </c>
    </row>
    <row r="257">
      <c r="A257" s="172" t="s">
        <v>198</v>
      </c>
      <c r="B257" s="24">
        <v>2.0</v>
      </c>
    </row>
    <row r="258">
      <c r="A258" s="172" t="s">
        <v>180</v>
      </c>
      <c r="B258" s="24">
        <v>2.0</v>
      </c>
    </row>
    <row r="259">
      <c r="A259" s="172" t="s">
        <v>199</v>
      </c>
      <c r="B259" s="24">
        <v>2.0</v>
      </c>
    </row>
    <row r="260">
      <c r="A260" s="172" t="s">
        <v>200</v>
      </c>
      <c r="B260" s="24">
        <v>2.0</v>
      </c>
    </row>
    <row r="261">
      <c r="A261" s="172" t="s">
        <v>99</v>
      </c>
      <c r="B261" s="24">
        <v>2.0</v>
      </c>
    </row>
    <row r="262">
      <c r="A262" s="172" t="s">
        <v>103</v>
      </c>
      <c r="B262" s="24">
        <v>2.0</v>
      </c>
    </row>
    <row r="263">
      <c r="A263" s="169" t="s">
        <v>112</v>
      </c>
      <c r="B263" s="24">
        <v>2.0</v>
      </c>
    </row>
    <row r="264">
      <c r="A264" s="174" t="s">
        <v>201</v>
      </c>
      <c r="B264" s="24">
        <v>1.0</v>
      </c>
    </row>
    <row r="265">
      <c r="A265" s="174" t="s">
        <v>183</v>
      </c>
      <c r="B265" s="24">
        <v>1.0</v>
      </c>
    </row>
    <row r="266">
      <c r="A266" s="172" t="s">
        <v>202</v>
      </c>
      <c r="B266" s="24">
        <v>1.0</v>
      </c>
    </row>
    <row r="267">
      <c r="A267" s="174" t="s">
        <v>162</v>
      </c>
      <c r="B267" s="24">
        <v>1.0</v>
      </c>
    </row>
    <row r="268">
      <c r="A268" s="172" t="s">
        <v>204</v>
      </c>
      <c r="B268" s="24">
        <v>1.0</v>
      </c>
    </row>
    <row r="269">
      <c r="A269" s="172" t="s">
        <v>205</v>
      </c>
      <c r="B269" s="24">
        <v>1.0</v>
      </c>
    </row>
    <row r="270">
      <c r="A270" s="172" t="s">
        <v>206</v>
      </c>
      <c r="B270" s="24">
        <v>1.0</v>
      </c>
    </row>
    <row r="271">
      <c r="A271" s="172" t="s">
        <v>207</v>
      </c>
      <c r="B271" s="24">
        <v>1.0</v>
      </c>
    </row>
    <row r="272">
      <c r="A272" s="172" t="s">
        <v>208</v>
      </c>
      <c r="B272" s="24">
        <v>1.0</v>
      </c>
    </row>
    <row r="273">
      <c r="A273" s="172" t="s">
        <v>209</v>
      </c>
      <c r="B273" s="24">
        <v>1.0</v>
      </c>
    </row>
    <row r="274">
      <c r="A274" s="64" t="s">
        <v>210</v>
      </c>
      <c r="B274" s="24">
        <v>1.0</v>
      </c>
    </row>
    <row r="275">
      <c r="A275" s="172" t="s">
        <v>138</v>
      </c>
      <c r="B275" s="24">
        <v>1.0</v>
      </c>
    </row>
    <row r="276">
      <c r="A276" s="174" t="s">
        <v>125</v>
      </c>
      <c r="B276" s="24">
        <v>1.0</v>
      </c>
    </row>
    <row r="277">
      <c r="A277" s="172" t="s">
        <v>211</v>
      </c>
      <c r="B277" s="24">
        <v>1.0</v>
      </c>
    </row>
    <row r="278">
      <c r="A278" s="174" t="s">
        <v>212</v>
      </c>
      <c r="B278" s="24">
        <v>1.0</v>
      </c>
    </row>
    <row r="279">
      <c r="A279" s="174" t="s">
        <v>213</v>
      </c>
      <c r="B279" s="24">
        <v>1.0</v>
      </c>
    </row>
    <row r="280">
      <c r="A280" s="174" t="s">
        <v>166</v>
      </c>
      <c r="B280" s="24">
        <v>1.0</v>
      </c>
    </row>
    <row r="281">
      <c r="A281" s="172" t="s">
        <v>174</v>
      </c>
      <c r="B281" s="24">
        <v>1.0</v>
      </c>
    </row>
    <row r="282">
      <c r="A282" s="174" t="s">
        <v>214</v>
      </c>
      <c r="B282" s="24">
        <v>1.0</v>
      </c>
    </row>
    <row r="283">
      <c r="A283" s="174" t="s">
        <v>215</v>
      </c>
      <c r="B283" s="24">
        <v>1.0</v>
      </c>
    </row>
    <row r="284">
      <c r="A284" s="172" t="s">
        <v>139</v>
      </c>
      <c r="B284" s="24">
        <v>1.0</v>
      </c>
    </row>
    <row r="285">
      <c r="A285" s="172" t="s">
        <v>216</v>
      </c>
      <c r="B285" s="24">
        <v>1.0</v>
      </c>
    </row>
    <row r="286">
      <c r="A286" s="172" t="s">
        <v>149</v>
      </c>
      <c r="B286" s="24">
        <v>1.0</v>
      </c>
    </row>
    <row r="287">
      <c r="A287" s="172" t="s">
        <v>217</v>
      </c>
      <c r="B287" s="24">
        <v>1.0</v>
      </c>
    </row>
    <row r="288">
      <c r="A288" s="172" t="s">
        <v>145</v>
      </c>
      <c r="B288" s="24">
        <v>1.0</v>
      </c>
    </row>
    <row r="289">
      <c r="A289" s="172" t="s">
        <v>130</v>
      </c>
      <c r="B289" s="24">
        <v>1.0</v>
      </c>
    </row>
    <row r="290">
      <c r="A290" s="172" t="s">
        <v>218</v>
      </c>
      <c r="B290" s="24">
        <v>1.0</v>
      </c>
    </row>
    <row r="291">
      <c r="A291" s="174" t="s">
        <v>219</v>
      </c>
      <c r="B291" s="24">
        <v>1.0</v>
      </c>
    </row>
    <row r="292">
      <c r="A292" s="172" t="s">
        <v>220</v>
      </c>
      <c r="B292" s="24">
        <v>1.0</v>
      </c>
    </row>
    <row r="293">
      <c r="A293" s="172" t="s">
        <v>221</v>
      </c>
      <c r="B293" s="24">
        <v>1.0</v>
      </c>
    </row>
    <row r="294">
      <c r="A294" s="174" t="s">
        <v>222</v>
      </c>
      <c r="B294" s="24">
        <v>1.0</v>
      </c>
    </row>
    <row r="295">
      <c r="A295" s="169" t="s">
        <v>223</v>
      </c>
      <c r="B295" s="24">
        <v>1.0</v>
      </c>
    </row>
    <row r="296">
      <c r="A296" s="174" t="s">
        <v>129</v>
      </c>
      <c r="B296" s="24">
        <v>1.0</v>
      </c>
    </row>
    <row r="297">
      <c r="A297" s="172" t="s">
        <v>224</v>
      </c>
      <c r="B297" s="24">
        <v>1.0</v>
      </c>
    </row>
    <row r="298">
      <c r="A298" s="172" t="s">
        <v>121</v>
      </c>
      <c r="B298" s="24">
        <v>1.0</v>
      </c>
    </row>
    <row r="299">
      <c r="A299" s="172" t="s">
        <v>170</v>
      </c>
      <c r="B299" s="24">
        <v>1.0</v>
      </c>
    </row>
    <row r="300">
      <c r="A300" s="169" t="s">
        <v>225</v>
      </c>
      <c r="B300" s="24">
        <v>1.0</v>
      </c>
    </row>
    <row r="301">
      <c r="A301" s="172" t="s">
        <v>128</v>
      </c>
      <c r="B301" s="24">
        <v>1.0</v>
      </c>
    </row>
    <row r="302">
      <c r="A302" s="172" t="s">
        <v>226</v>
      </c>
      <c r="B302" s="24">
        <v>1.0</v>
      </c>
    </row>
    <row r="303">
      <c r="A303" s="172" t="s">
        <v>227</v>
      </c>
      <c r="B303" s="24">
        <v>1.0</v>
      </c>
    </row>
    <row r="304">
      <c r="A304" s="169" t="s">
        <v>228</v>
      </c>
      <c r="B304" s="24">
        <v>1.0</v>
      </c>
    </row>
    <row r="305">
      <c r="A305" s="174" t="s">
        <v>135</v>
      </c>
      <c r="B305" s="24">
        <v>1.0</v>
      </c>
    </row>
    <row r="306">
      <c r="A306" s="172" t="s">
        <v>229</v>
      </c>
      <c r="B306" s="24">
        <v>1.0</v>
      </c>
    </row>
    <row r="307">
      <c r="A307" s="172" t="s">
        <v>230</v>
      </c>
      <c r="B307" s="24">
        <v>1.0</v>
      </c>
    </row>
  </sheetData>
  <mergeCells count="4">
    <mergeCell ref="B1:C1"/>
    <mergeCell ref="B2:B14"/>
    <mergeCell ref="B16:B29"/>
    <mergeCell ref="U33:V33"/>
  </mergeCells>
  <conditionalFormatting sqref="B94:M94">
    <cfRule type="colorScale" priority="1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95:M95">
    <cfRule type="colorScale" priority="2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96:M96">
    <cfRule type="colorScale" priority="3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97:M97">
    <cfRule type="colorScale" priority="4">
      <colorScale>
        <cfvo type="min"/>
        <cfvo type="percentile" val="50"/>
        <cfvo type="max"/>
        <color rgb="FFFFFFFF"/>
        <color rgb="FF00FF00"/>
        <color rgb="FF6AA84F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5" max="5" width="24.38"/>
    <col customWidth="1" min="7" max="7" width="24.63"/>
  </cols>
  <sheetData>
    <row r="1">
      <c r="A1" s="88" t="s">
        <v>18</v>
      </c>
      <c r="B1" s="6"/>
      <c r="F1" s="88" t="s">
        <v>27</v>
      </c>
      <c r="G1" s="6"/>
      <c r="I1" s="175" t="s">
        <v>231</v>
      </c>
      <c r="J1" s="6"/>
      <c r="N1" s="88" t="s">
        <v>26</v>
      </c>
      <c r="O1" s="6"/>
      <c r="Q1" s="149"/>
      <c r="T1" s="88" t="s">
        <v>232</v>
      </c>
      <c r="U1" s="6"/>
      <c r="X1" s="88" t="s">
        <v>28</v>
      </c>
      <c r="Y1" s="6"/>
      <c r="AC1" s="88" t="s">
        <v>29</v>
      </c>
      <c r="AD1" s="6"/>
      <c r="AG1" s="88" t="s">
        <v>31</v>
      </c>
      <c r="AH1" s="6"/>
    </row>
    <row r="2">
      <c r="A2" s="1">
        <v>2023.0</v>
      </c>
      <c r="B2" s="110">
        <v>3027.0</v>
      </c>
      <c r="F2" s="1">
        <v>2023.0</v>
      </c>
      <c r="G2" s="176">
        <v>1962.0</v>
      </c>
      <c r="I2" s="85">
        <v>2023.0</v>
      </c>
      <c r="J2" s="177">
        <v>228.0</v>
      </c>
      <c r="N2" s="1">
        <v>2023.0</v>
      </c>
      <c r="O2" s="139">
        <v>1065.0</v>
      </c>
      <c r="Q2" s="173" t="s">
        <v>26</v>
      </c>
      <c r="R2" s="173">
        <v>2376.0</v>
      </c>
      <c r="T2" s="1">
        <v>2023.0</v>
      </c>
      <c r="U2" s="139">
        <v>327.0</v>
      </c>
      <c r="X2" s="1">
        <v>2023.0</v>
      </c>
      <c r="Y2" s="139">
        <v>1204.0</v>
      </c>
      <c r="AC2" s="1">
        <v>2023.0</v>
      </c>
      <c r="AD2" s="139">
        <v>1355.0</v>
      </c>
      <c r="AG2" s="1">
        <v>2023.0</v>
      </c>
      <c r="AH2" s="139">
        <v>3422.0</v>
      </c>
    </row>
    <row r="3">
      <c r="A3" s="1">
        <v>2024.0</v>
      </c>
      <c r="B3" s="110">
        <v>8234.0</v>
      </c>
      <c r="F3" s="1">
        <v>2024.0</v>
      </c>
      <c r="G3" s="176">
        <v>5858.0</v>
      </c>
      <c r="I3" s="85">
        <v>2024.0</v>
      </c>
      <c r="J3" s="177">
        <v>599.0</v>
      </c>
      <c r="N3" s="1">
        <v>2024.0</v>
      </c>
      <c r="O3" s="139">
        <v>2376.0</v>
      </c>
      <c r="Q3" s="173" t="s">
        <v>62</v>
      </c>
      <c r="R3" s="173">
        <v>937.0</v>
      </c>
      <c r="T3" s="1">
        <v>2024.0</v>
      </c>
      <c r="U3" s="139">
        <v>748.0</v>
      </c>
      <c r="X3" s="1">
        <v>2024.0</v>
      </c>
      <c r="Y3" s="139">
        <v>1545.0</v>
      </c>
      <c r="AC3" s="1">
        <v>2024.0</v>
      </c>
      <c r="AD3" s="139">
        <v>2284.0</v>
      </c>
      <c r="AG3" s="1">
        <v>2024.0</v>
      </c>
      <c r="AH3" s="139">
        <v>7683.0</v>
      </c>
    </row>
    <row r="4">
      <c r="B4" s="95">
        <f>(B3-B2)/B2*100%</f>
        <v>1.720185002</v>
      </c>
      <c r="G4" s="95">
        <f>(G3-G2)/G2*100%</f>
        <v>1.985728848</v>
      </c>
      <c r="I4" s="9"/>
      <c r="J4" s="179">
        <f>(J3-J2)/J2*100%</f>
        <v>1.627192982</v>
      </c>
      <c r="O4" s="95">
        <f>(O3-O2)/O2*100%</f>
        <v>1.230985915</v>
      </c>
      <c r="Q4" s="173" t="s">
        <v>63</v>
      </c>
      <c r="R4" s="173">
        <v>563.0</v>
      </c>
      <c r="U4" s="95">
        <f>(U3-U2)/U2*100%</f>
        <v>1.287461774</v>
      </c>
      <c r="Y4" s="95">
        <f>(Y3-Y2)/Y2*100%</f>
        <v>0.2832225914</v>
      </c>
      <c r="AD4" s="95">
        <f>(AD3-AD2)/AD2*100%</f>
        <v>0.6856088561</v>
      </c>
      <c r="AH4" s="95">
        <f>(AH3-AH2)/AH2*100%</f>
        <v>1.245178258</v>
      </c>
    </row>
    <row r="5">
      <c r="Q5" s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="S28" s="180">
        <v>2024.0</v>
      </c>
    </row>
    <row r="29">
      <c r="A29" s="166">
        <v>2024.0</v>
      </c>
      <c r="B29" s="166"/>
      <c r="C29" s="166"/>
      <c r="D29" s="166"/>
      <c r="H29" s="166"/>
      <c r="I29" s="166">
        <v>2025.0</v>
      </c>
      <c r="J29" s="166"/>
      <c r="S29" s="71"/>
      <c r="T29" s="17" t="s">
        <v>4</v>
      </c>
      <c r="U29" s="17" t="s">
        <v>6</v>
      </c>
      <c r="V29" s="17" t="s">
        <v>7</v>
      </c>
    </row>
    <row r="30">
      <c r="A30" s="181"/>
      <c r="B30" s="182" t="s">
        <v>237</v>
      </c>
      <c r="C30" s="182" t="s">
        <v>238</v>
      </c>
      <c r="D30" s="182" t="s">
        <v>239</v>
      </c>
      <c r="E30" s="182" t="s">
        <v>240</v>
      </c>
      <c r="F30" s="182" t="s">
        <v>29</v>
      </c>
      <c r="G30" s="182" t="s">
        <v>31</v>
      </c>
      <c r="I30" s="183"/>
      <c r="J30" s="182" t="s">
        <v>242</v>
      </c>
      <c r="K30" s="182" t="s">
        <v>243</v>
      </c>
      <c r="L30" s="182" t="s">
        <v>27</v>
      </c>
      <c r="M30" s="182" t="s">
        <v>28</v>
      </c>
      <c r="N30" s="182" t="s">
        <v>29</v>
      </c>
      <c r="O30" s="182" t="s">
        <v>31</v>
      </c>
      <c r="S30" s="71" t="s">
        <v>62</v>
      </c>
      <c r="T30" s="69"/>
      <c r="U30" s="107">
        <v>52.0</v>
      </c>
      <c r="V30" s="107">
        <v>53.0</v>
      </c>
    </row>
    <row r="31">
      <c r="A31" s="184" t="s">
        <v>4</v>
      </c>
      <c r="B31" s="69">
        <v>391.0</v>
      </c>
      <c r="C31" s="69">
        <v>155.0</v>
      </c>
      <c r="D31" s="69">
        <v>236.0</v>
      </c>
      <c r="E31" s="69">
        <v>105.0</v>
      </c>
      <c r="F31" s="69">
        <v>1657.0</v>
      </c>
      <c r="G31" s="69">
        <v>132.0</v>
      </c>
      <c r="I31" s="19" t="s">
        <v>4</v>
      </c>
      <c r="J31" s="69">
        <v>787.0</v>
      </c>
      <c r="K31" s="69">
        <v>246.0</v>
      </c>
      <c r="L31" s="69">
        <v>541.0</v>
      </c>
      <c r="M31" s="69">
        <v>240.0</v>
      </c>
      <c r="N31" s="69">
        <v>2235.0</v>
      </c>
      <c r="O31" s="69">
        <v>306.0</v>
      </c>
      <c r="S31" s="71" t="s">
        <v>63</v>
      </c>
      <c r="T31" s="69"/>
      <c r="U31" s="107">
        <v>40.0</v>
      </c>
      <c r="V31" s="107">
        <v>76.0</v>
      </c>
    </row>
    <row r="32">
      <c r="A32" s="184" t="s">
        <v>6</v>
      </c>
      <c r="B32" s="69">
        <v>353.0</v>
      </c>
      <c r="C32" s="69">
        <v>113.0</v>
      </c>
      <c r="D32" s="69">
        <v>240.0</v>
      </c>
      <c r="E32" s="69">
        <v>88.0</v>
      </c>
      <c r="F32" s="69">
        <v>1696.0</v>
      </c>
      <c r="G32" s="69">
        <v>251.0</v>
      </c>
      <c r="I32" s="19" t="s">
        <v>6</v>
      </c>
      <c r="J32" s="69">
        <v>749.0</v>
      </c>
      <c r="K32" s="69">
        <v>178.0</v>
      </c>
      <c r="L32" s="69">
        <v>571.0</v>
      </c>
      <c r="M32" s="69">
        <v>328.0</v>
      </c>
      <c r="N32" s="69">
        <v>2235.0</v>
      </c>
      <c r="O32" s="69">
        <v>721.0</v>
      </c>
      <c r="S32" s="71" t="s">
        <v>64</v>
      </c>
      <c r="T32" s="69"/>
      <c r="U32" s="107">
        <v>21.0</v>
      </c>
      <c r="V32" s="107">
        <v>11.0</v>
      </c>
    </row>
    <row r="33">
      <c r="A33" s="184" t="s">
        <v>7</v>
      </c>
      <c r="B33" s="69">
        <v>433.0</v>
      </c>
      <c r="C33" s="69">
        <v>177.0</v>
      </c>
      <c r="D33" s="69">
        <v>256.0</v>
      </c>
      <c r="E33" s="69">
        <v>81.0</v>
      </c>
      <c r="F33" s="69">
        <v>1780.0</v>
      </c>
      <c r="G33" s="69">
        <v>149.0</v>
      </c>
      <c r="I33" s="19" t="s">
        <v>7</v>
      </c>
      <c r="J33" s="69">
        <v>1048.0</v>
      </c>
      <c r="K33" s="69">
        <v>243.0</v>
      </c>
      <c r="L33" s="69">
        <v>805.0</v>
      </c>
      <c r="M33" s="69">
        <v>219.0</v>
      </c>
      <c r="N33" s="69">
        <v>2234.0</v>
      </c>
      <c r="O33" s="69">
        <v>611.0</v>
      </c>
    </row>
    <row r="34">
      <c r="A34" s="185" t="s">
        <v>17</v>
      </c>
      <c r="B34" s="186">
        <f t="shared" ref="B34:E34" si="1">SUM(B30:B33)</f>
        <v>1177</v>
      </c>
      <c r="C34" s="186">
        <f t="shared" si="1"/>
        <v>445</v>
      </c>
      <c r="D34" s="186">
        <f t="shared" si="1"/>
        <v>732</v>
      </c>
      <c r="E34" s="186">
        <f t="shared" si="1"/>
        <v>274</v>
      </c>
      <c r="F34" s="187">
        <v>1780.0</v>
      </c>
      <c r="G34" s="186">
        <f>SUM(G30:G33)</f>
        <v>532</v>
      </c>
      <c r="H34" s="65"/>
      <c r="I34" s="185" t="s">
        <v>17</v>
      </c>
      <c r="J34" s="186">
        <f t="shared" ref="J34:M34" si="2">SUM(J30:J33)</f>
        <v>2584</v>
      </c>
      <c r="K34" s="186">
        <f t="shared" si="2"/>
        <v>667</v>
      </c>
      <c r="L34" s="186">
        <f t="shared" si="2"/>
        <v>1917</v>
      </c>
      <c r="M34" s="186">
        <f t="shared" si="2"/>
        <v>787</v>
      </c>
      <c r="N34" s="187">
        <v>2234.0</v>
      </c>
      <c r="O34" s="186">
        <f>SUM(O30:O33)</f>
        <v>1638</v>
      </c>
      <c r="S34" s="180">
        <v>2025.0</v>
      </c>
    </row>
    <row r="35">
      <c r="A35" s="9"/>
      <c r="B35" s="65"/>
      <c r="C35" s="65"/>
      <c r="D35" s="65"/>
      <c r="G35" s="188"/>
      <c r="H35" s="189"/>
      <c r="I35" s="65"/>
      <c r="J35" s="65"/>
      <c r="S35" s="71"/>
      <c r="T35" s="17" t="s">
        <v>4</v>
      </c>
      <c r="U35" s="17" t="s">
        <v>6</v>
      </c>
      <c r="V35" s="17" t="s">
        <v>7</v>
      </c>
    </row>
    <row r="36">
      <c r="A36" s="9"/>
      <c r="B36" s="65"/>
      <c r="C36" s="65"/>
      <c r="D36" s="65"/>
      <c r="G36" s="188"/>
      <c r="H36" s="65"/>
      <c r="I36" s="65"/>
      <c r="J36" s="65"/>
      <c r="S36" s="71" t="s">
        <v>62</v>
      </c>
      <c r="T36" s="190">
        <v>121.0</v>
      </c>
      <c r="U36" s="190">
        <v>67.0</v>
      </c>
      <c r="V36" s="190">
        <v>62.0</v>
      </c>
    </row>
    <row r="37">
      <c r="S37" s="71" t="s">
        <v>63</v>
      </c>
      <c r="T37" s="190">
        <v>43.0</v>
      </c>
      <c r="U37" s="190">
        <v>51.0</v>
      </c>
      <c r="V37" s="190">
        <v>48.0</v>
      </c>
    </row>
    <row r="38">
      <c r="S38" s="71" t="s">
        <v>64</v>
      </c>
      <c r="T38" s="190">
        <v>9.0</v>
      </c>
      <c r="U38" s="190">
        <v>20.0</v>
      </c>
      <c r="V38" s="190">
        <v>54.0</v>
      </c>
      <c r="W38" s="9"/>
    </row>
    <row r="39">
      <c r="W39" s="9"/>
    </row>
    <row r="40">
      <c r="W40" s="9"/>
    </row>
    <row r="41">
      <c r="W41" s="9"/>
    </row>
    <row r="43">
      <c r="A43" s="88" t="s">
        <v>245</v>
      </c>
      <c r="B43" s="6"/>
      <c r="D43" s="88" t="s">
        <v>246</v>
      </c>
      <c r="E43" s="6"/>
      <c r="G43" s="88" t="s">
        <v>247</v>
      </c>
      <c r="H43" s="6"/>
      <c r="K43" s="88" t="s">
        <v>248</v>
      </c>
      <c r="L43" s="6"/>
      <c r="W43" s="9"/>
    </row>
    <row r="44">
      <c r="A44" s="1">
        <v>2024.0</v>
      </c>
      <c r="B44" s="109">
        <v>1177.0</v>
      </c>
      <c r="D44" s="1">
        <v>2024.0</v>
      </c>
      <c r="E44" s="139">
        <v>732.0</v>
      </c>
      <c r="G44" s="1">
        <v>2024.0</v>
      </c>
      <c r="H44" s="176">
        <v>445.0</v>
      </c>
      <c r="K44" s="1">
        <v>2024.0</v>
      </c>
      <c r="L44" s="139">
        <v>274.0</v>
      </c>
      <c r="W44" s="9"/>
    </row>
    <row r="45">
      <c r="A45" s="1">
        <v>2025.0</v>
      </c>
      <c r="B45" s="109">
        <v>2584.0</v>
      </c>
      <c r="D45" s="1">
        <v>2025.0</v>
      </c>
      <c r="E45" s="139">
        <v>1917.0</v>
      </c>
      <c r="G45" s="1">
        <v>2025.0</v>
      </c>
      <c r="H45" s="176">
        <v>667.0</v>
      </c>
      <c r="K45" s="1">
        <v>2025.0</v>
      </c>
      <c r="L45" s="139">
        <v>787.0</v>
      </c>
      <c r="W45" s="9"/>
    </row>
    <row r="46">
      <c r="B46" s="95">
        <f>(B45-B44)/B44*100%</f>
        <v>1.195412065</v>
      </c>
      <c r="E46" s="95">
        <f>(E45-E44)/E44*100%</f>
        <v>1.618852459</v>
      </c>
      <c r="H46" s="95">
        <f>(H45-H44)/H44*100%</f>
        <v>0.4988764045</v>
      </c>
      <c r="L46" s="95">
        <f>(L45-L44)/L44*100%</f>
        <v>1.872262774</v>
      </c>
      <c r="W46" s="9"/>
    </row>
    <row r="50">
      <c r="W50" s="9"/>
    </row>
    <row r="51">
      <c r="W51" s="9"/>
    </row>
    <row r="52">
      <c r="W52" s="9"/>
    </row>
    <row r="53">
      <c r="W53" s="9"/>
    </row>
    <row r="72">
      <c r="B72" s="149"/>
    </row>
  </sheetData>
  <mergeCells count="14">
    <mergeCell ref="T1:U1"/>
    <mergeCell ref="S28:V28"/>
    <mergeCell ref="S34:V34"/>
    <mergeCell ref="A43:B43"/>
    <mergeCell ref="D43:E43"/>
    <mergeCell ref="G43:H43"/>
    <mergeCell ref="K43:L43"/>
    <mergeCell ref="A1:B1"/>
    <mergeCell ref="F1:G1"/>
    <mergeCell ref="I1:J1"/>
    <mergeCell ref="N1:O1"/>
    <mergeCell ref="X1:Y1"/>
    <mergeCell ref="AC1:AD1"/>
    <mergeCell ref="AG1:AH1"/>
  </mergeCells>
  <conditionalFormatting sqref="T32:V32 B35:D35">
    <cfRule type="colorScale" priority="1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36:D36">
    <cfRule type="colorScale" priority="2">
      <colorScale>
        <cfvo type="min"/>
        <cfvo type="percentile" val="50"/>
        <cfvo type="max"/>
        <color rgb="FFFFFFFF"/>
        <color rgb="FF00FF00"/>
        <color rgb="FF6AA84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0.75"/>
    <col customWidth="1" min="3" max="3" width="11.63"/>
    <col customWidth="1" min="4" max="6" width="13.25"/>
    <col customWidth="1" min="7" max="7" width="18.5"/>
    <col customWidth="1" min="8" max="8" width="13.0"/>
    <col customWidth="1" min="9" max="9" width="15.25"/>
    <col customWidth="1" min="10" max="10" width="47.38"/>
    <col customWidth="1" min="11" max="11" width="32.13"/>
    <col customWidth="1" min="12" max="12" width="11.63"/>
    <col customWidth="1" min="13" max="13" width="18.0"/>
    <col customWidth="1" min="14" max="14" width="22.13"/>
    <col customWidth="1" min="15" max="15" width="20.88"/>
    <col customWidth="1" min="16" max="16" width="41.0"/>
    <col customWidth="1" min="17" max="17" width="12.63"/>
    <col customWidth="1" min="18" max="18" width="14.38"/>
    <col customWidth="1" min="19" max="19" width="11.38"/>
    <col customWidth="1" min="20" max="20" width="10.0"/>
    <col customWidth="1" min="21" max="21" width="7.5"/>
  </cols>
  <sheetData>
    <row r="1">
      <c r="B1" s="88" t="s">
        <v>249</v>
      </c>
      <c r="C1" s="6"/>
      <c r="D1" s="109" t="s">
        <v>18</v>
      </c>
      <c r="E1" s="109" t="s">
        <v>26</v>
      </c>
      <c r="F1" s="109" t="s">
        <v>27</v>
      </c>
      <c r="G1" s="109" t="s">
        <v>28</v>
      </c>
      <c r="H1" s="110" t="s">
        <v>29</v>
      </c>
      <c r="I1" s="110" t="s">
        <v>31</v>
      </c>
      <c r="K1" s="122"/>
      <c r="L1" s="111"/>
      <c r="M1" s="113"/>
      <c r="N1" s="113"/>
      <c r="O1" s="113"/>
      <c r="P1" s="113"/>
      <c r="Q1" s="113"/>
      <c r="R1" s="113"/>
    </row>
    <row r="2">
      <c r="B2" s="114"/>
      <c r="C2" s="110" t="s">
        <v>4</v>
      </c>
      <c r="D2" s="115">
        <v>787.0</v>
      </c>
      <c r="E2" s="116">
        <v>246.0</v>
      </c>
      <c r="F2" s="116">
        <v>541.0</v>
      </c>
      <c r="G2" s="115">
        <v>240.0</v>
      </c>
      <c r="H2" s="120">
        <v>2235.0</v>
      </c>
      <c r="I2" s="116">
        <v>306.0</v>
      </c>
      <c r="K2" s="111"/>
      <c r="L2" s="111"/>
      <c r="M2" s="113"/>
      <c r="N2" s="113"/>
      <c r="O2" s="113"/>
      <c r="P2" s="113"/>
      <c r="Q2" s="113"/>
      <c r="R2" s="113"/>
    </row>
    <row r="3">
      <c r="B3" s="117"/>
      <c r="C3" s="110" t="s">
        <v>6</v>
      </c>
      <c r="D3" s="115">
        <v>749.0</v>
      </c>
      <c r="E3" s="116">
        <v>178.0</v>
      </c>
      <c r="F3" s="116">
        <v>571.0</v>
      </c>
      <c r="G3" s="115">
        <v>328.0</v>
      </c>
      <c r="H3" s="116">
        <v>2235.0</v>
      </c>
      <c r="I3" s="116">
        <v>721.0</v>
      </c>
      <c r="K3" s="122"/>
      <c r="L3" s="111"/>
      <c r="M3" s="113"/>
      <c r="N3" s="113"/>
      <c r="O3" s="113"/>
      <c r="P3" s="113"/>
      <c r="Q3" s="113"/>
      <c r="R3" s="112"/>
    </row>
    <row r="4">
      <c r="B4" s="117"/>
      <c r="C4" s="110" t="s">
        <v>7</v>
      </c>
      <c r="D4" s="115">
        <v>1048.0</v>
      </c>
      <c r="E4" s="116">
        <v>243.0</v>
      </c>
      <c r="F4" s="116">
        <v>805.0</v>
      </c>
      <c r="G4" s="115">
        <v>219.0</v>
      </c>
      <c r="H4" s="116">
        <v>2234.0</v>
      </c>
      <c r="I4" s="116">
        <v>611.0</v>
      </c>
      <c r="K4" s="122"/>
      <c r="L4" s="191"/>
      <c r="M4" s="112"/>
      <c r="N4" s="112"/>
      <c r="O4" s="112"/>
      <c r="P4" s="112"/>
      <c r="Q4" s="112"/>
      <c r="R4" s="112"/>
    </row>
    <row r="5">
      <c r="B5" s="117"/>
      <c r="C5" s="110" t="s">
        <v>8</v>
      </c>
      <c r="D5" s="115">
        <v>795.0</v>
      </c>
      <c r="E5" s="116">
        <v>161.0</v>
      </c>
      <c r="F5" s="116">
        <v>634.0</v>
      </c>
      <c r="G5" s="115">
        <v>154.0</v>
      </c>
      <c r="H5" s="115">
        <v>2195.0</v>
      </c>
      <c r="I5" s="116">
        <v>490.0</v>
      </c>
      <c r="K5" s="122"/>
      <c r="L5" s="191"/>
      <c r="M5" s="112"/>
      <c r="N5" s="112"/>
      <c r="O5" s="112"/>
      <c r="P5" s="112"/>
      <c r="Q5" s="112"/>
      <c r="R5" s="112"/>
    </row>
    <row r="6">
      <c r="B6" s="117"/>
      <c r="C6" s="110" t="s">
        <v>9</v>
      </c>
      <c r="D6" s="115">
        <v>991.0</v>
      </c>
      <c r="E6" s="116">
        <v>296.0</v>
      </c>
      <c r="F6" s="116">
        <v>695.0</v>
      </c>
      <c r="G6" s="115">
        <v>964.0</v>
      </c>
      <c r="H6" s="115">
        <v>2218.0</v>
      </c>
      <c r="I6" s="116">
        <v>4400.0</v>
      </c>
      <c r="K6" s="122"/>
      <c r="L6" s="191"/>
      <c r="M6" s="112"/>
      <c r="N6" s="112"/>
      <c r="O6" s="112"/>
      <c r="P6" s="112"/>
      <c r="Q6" s="112"/>
      <c r="R6" s="112"/>
    </row>
    <row r="7">
      <c r="B7" s="117"/>
      <c r="C7" s="110" t="s">
        <v>10</v>
      </c>
      <c r="D7" s="115">
        <v>1666.0</v>
      </c>
      <c r="E7" s="116">
        <v>547.0</v>
      </c>
      <c r="F7" s="116">
        <v>1119.0</v>
      </c>
      <c r="G7" s="115">
        <v>1295.0</v>
      </c>
      <c r="H7" s="115">
        <v>2228.0</v>
      </c>
      <c r="I7" s="116">
        <v>9900.0</v>
      </c>
      <c r="K7" s="111"/>
      <c r="L7" s="192"/>
      <c r="M7" s="112"/>
      <c r="N7" s="112"/>
      <c r="O7" s="112"/>
      <c r="P7" s="112"/>
      <c r="Q7" s="112"/>
      <c r="R7" s="121"/>
      <c r="S7" s="193"/>
      <c r="T7" s="193"/>
      <c r="U7" s="193"/>
      <c r="V7" s="193"/>
      <c r="W7" s="193"/>
    </row>
    <row r="8">
      <c r="B8" s="117"/>
      <c r="C8" s="110" t="s">
        <v>11</v>
      </c>
      <c r="D8" s="115">
        <v>1475.0</v>
      </c>
      <c r="E8" s="116">
        <v>461.0</v>
      </c>
      <c r="F8" s="116">
        <v>1014.0</v>
      </c>
      <c r="G8" s="115">
        <v>1230.0</v>
      </c>
      <c r="H8" s="118">
        <v>2230.0</v>
      </c>
      <c r="I8" s="115">
        <v>351.0</v>
      </c>
      <c r="K8" s="111"/>
      <c r="L8" s="191"/>
      <c r="M8" s="112"/>
      <c r="N8" s="112"/>
      <c r="O8" s="112"/>
      <c r="P8" s="112"/>
      <c r="Q8" s="112"/>
      <c r="R8" s="112"/>
    </row>
    <row r="9">
      <c r="B9" s="117"/>
      <c r="C9" s="110" t="s">
        <v>12</v>
      </c>
      <c r="D9" s="115">
        <v>1767.0</v>
      </c>
      <c r="E9" s="116">
        <v>505.0</v>
      </c>
      <c r="F9" s="116">
        <v>1262.0</v>
      </c>
      <c r="G9" s="115">
        <v>719.0</v>
      </c>
      <c r="H9" s="118">
        <v>2222.0</v>
      </c>
      <c r="I9" s="115">
        <v>344.0</v>
      </c>
      <c r="K9" s="111"/>
      <c r="L9" s="191"/>
      <c r="M9" s="194"/>
      <c r="N9" s="112"/>
      <c r="O9" s="112"/>
      <c r="P9" s="194"/>
      <c r="Q9" s="194"/>
      <c r="R9" s="112"/>
    </row>
    <row r="10">
      <c r="B10" s="117"/>
      <c r="C10" s="110" t="s">
        <v>13</v>
      </c>
      <c r="D10" s="115">
        <v>1336.0</v>
      </c>
      <c r="E10" s="116">
        <v>315.0</v>
      </c>
      <c r="F10" s="116">
        <v>1021.0</v>
      </c>
      <c r="G10" s="115">
        <v>427.0</v>
      </c>
      <c r="H10" s="118">
        <v>2161.0</v>
      </c>
      <c r="I10" s="115">
        <v>607.0</v>
      </c>
      <c r="K10" s="111"/>
      <c r="L10" s="111"/>
      <c r="M10" s="113"/>
      <c r="N10" s="112"/>
      <c r="O10" s="112"/>
      <c r="P10" s="113"/>
      <c r="Q10" s="119"/>
      <c r="R10" s="113"/>
    </row>
    <row r="11">
      <c r="B11" s="117"/>
      <c r="C11" s="110" t="s">
        <v>14</v>
      </c>
      <c r="D11" s="115">
        <v>1096.0</v>
      </c>
      <c r="E11" s="116">
        <v>294.0</v>
      </c>
      <c r="F11" s="116">
        <v>802.0</v>
      </c>
      <c r="G11" s="116">
        <v>453.0</v>
      </c>
      <c r="H11" s="118">
        <v>2132.0</v>
      </c>
      <c r="I11" s="115">
        <v>619.0</v>
      </c>
      <c r="K11" s="111"/>
      <c r="L11" s="111"/>
      <c r="M11" s="113"/>
      <c r="N11" s="112"/>
      <c r="O11" s="112"/>
      <c r="P11" s="112"/>
      <c r="Q11" s="119"/>
      <c r="R11" s="113"/>
    </row>
    <row r="12">
      <c r="B12" s="117"/>
      <c r="C12" s="110" t="s">
        <v>15</v>
      </c>
      <c r="D12" s="115">
        <v>849.0</v>
      </c>
      <c r="E12" s="116">
        <v>189.0</v>
      </c>
      <c r="F12" s="116">
        <v>660.0</v>
      </c>
      <c r="G12" s="116">
        <v>160.0</v>
      </c>
      <c r="H12" s="118">
        <v>2071.0</v>
      </c>
      <c r="I12" s="115">
        <v>312.0</v>
      </c>
      <c r="K12" s="111"/>
      <c r="L12" s="111"/>
      <c r="M12" s="113"/>
      <c r="N12" s="112"/>
      <c r="O12" s="112"/>
      <c r="P12" s="112"/>
      <c r="Q12" s="119"/>
      <c r="R12" s="113"/>
    </row>
    <row r="13">
      <c r="B13" s="117"/>
      <c r="C13" s="110" t="s">
        <v>16</v>
      </c>
      <c r="D13" s="115">
        <v>766.0</v>
      </c>
      <c r="E13" s="116">
        <v>167.0</v>
      </c>
      <c r="F13" s="116">
        <v>599.0</v>
      </c>
      <c r="G13" s="116">
        <v>188.0</v>
      </c>
      <c r="H13" s="120">
        <v>2002.0</v>
      </c>
      <c r="I13" s="116">
        <v>500.0</v>
      </c>
      <c r="K13" s="111"/>
      <c r="L13" s="111"/>
      <c r="M13" s="113"/>
      <c r="N13" s="112"/>
      <c r="O13" s="112"/>
      <c r="P13" s="112"/>
      <c r="Q13" s="121"/>
      <c r="R13" s="112"/>
    </row>
    <row r="14">
      <c r="B14" s="117"/>
      <c r="C14" s="110" t="s">
        <v>17</v>
      </c>
      <c r="D14" s="110">
        <v>13325.0</v>
      </c>
      <c r="E14" s="110">
        <v>3602.0</v>
      </c>
      <c r="F14" s="110">
        <v>9723.0</v>
      </c>
      <c r="G14" s="110">
        <v>6377.0</v>
      </c>
      <c r="H14" s="109">
        <v>2284.0</v>
      </c>
      <c r="I14" s="110">
        <v>19161.0</v>
      </c>
      <c r="K14" s="111"/>
      <c r="L14" s="111"/>
      <c r="M14" s="111"/>
      <c r="N14" s="111"/>
      <c r="O14" s="111"/>
      <c r="P14" s="111"/>
      <c r="Q14" s="122"/>
      <c r="R14" s="111"/>
    </row>
    <row r="16">
      <c r="B16" s="123">
        <v>2024.0</v>
      </c>
      <c r="C16" s="110" t="s">
        <v>3</v>
      </c>
      <c r="D16" s="109" t="s">
        <v>18</v>
      </c>
      <c r="E16" s="109" t="s">
        <v>26</v>
      </c>
      <c r="F16" s="109" t="s">
        <v>27</v>
      </c>
      <c r="G16" s="109" t="s">
        <v>28</v>
      </c>
      <c r="H16" s="110" t="s">
        <v>29</v>
      </c>
      <c r="I16" s="110" t="s">
        <v>31</v>
      </c>
      <c r="T16" s="124"/>
    </row>
    <row r="17">
      <c r="B17" s="117"/>
      <c r="C17" s="110" t="s">
        <v>4</v>
      </c>
      <c r="D17" s="115">
        <v>391.0</v>
      </c>
      <c r="E17" s="116">
        <v>155.0</v>
      </c>
      <c r="F17" s="116">
        <v>236.0</v>
      </c>
      <c r="G17" s="115">
        <v>105.0</v>
      </c>
      <c r="H17" s="116">
        <v>1657.0</v>
      </c>
      <c r="I17" s="116">
        <v>132.0</v>
      </c>
    </row>
    <row r="18">
      <c r="B18" s="117"/>
      <c r="C18" s="110" t="s">
        <v>6</v>
      </c>
      <c r="D18" s="115">
        <v>353.0</v>
      </c>
      <c r="E18" s="116">
        <v>113.0</v>
      </c>
      <c r="F18" s="116">
        <v>240.0</v>
      </c>
      <c r="G18" s="115">
        <v>88.0</v>
      </c>
      <c r="H18" s="116">
        <v>1696.0</v>
      </c>
      <c r="I18" s="116">
        <v>251.0</v>
      </c>
    </row>
    <row r="19">
      <c r="B19" s="117"/>
      <c r="C19" s="110" t="s">
        <v>7</v>
      </c>
      <c r="D19" s="115">
        <v>433.0</v>
      </c>
      <c r="E19" s="116">
        <v>177.0</v>
      </c>
      <c r="F19" s="116">
        <v>256.0</v>
      </c>
      <c r="G19" s="115">
        <v>81.0</v>
      </c>
      <c r="H19" s="116">
        <v>1780.0</v>
      </c>
      <c r="I19" s="116">
        <v>149.0</v>
      </c>
    </row>
    <row r="20">
      <c r="B20" s="117"/>
      <c r="C20" s="110" t="s">
        <v>8</v>
      </c>
      <c r="D20" s="115">
        <v>421.0</v>
      </c>
      <c r="E20" s="116">
        <v>159.0</v>
      </c>
      <c r="F20" s="116">
        <v>262.0</v>
      </c>
      <c r="G20" s="115">
        <v>65.0</v>
      </c>
      <c r="H20" s="115">
        <v>1815.0</v>
      </c>
      <c r="I20" s="116">
        <v>121.0</v>
      </c>
    </row>
    <row r="21">
      <c r="B21" s="117"/>
      <c r="C21" s="110" t="s">
        <v>9</v>
      </c>
      <c r="D21" s="115">
        <v>439.0</v>
      </c>
      <c r="E21" s="116">
        <v>163.0</v>
      </c>
      <c r="F21" s="116">
        <v>276.0</v>
      </c>
      <c r="G21" s="115">
        <v>61.0</v>
      </c>
      <c r="H21" s="115">
        <v>1815.0</v>
      </c>
      <c r="I21" s="116">
        <v>767.0</v>
      </c>
    </row>
    <row r="22">
      <c r="B22" s="117"/>
      <c r="C22" s="110" t="s">
        <v>10</v>
      </c>
      <c r="D22" s="115">
        <v>604.0</v>
      </c>
      <c r="E22" s="116">
        <v>245.0</v>
      </c>
      <c r="F22" s="116">
        <v>359.0</v>
      </c>
      <c r="G22" s="115">
        <v>92.0</v>
      </c>
      <c r="H22" s="115">
        <v>1854.0</v>
      </c>
      <c r="I22" s="116">
        <v>1200.0</v>
      </c>
    </row>
    <row r="23">
      <c r="B23" s="117"/>
      <c r="C23" s="110" t="s">
        <v>11</v>
      </c>
      <c r="D23" s="115">
        <v>741.0</v>
      </c>
      <c r="E23" s="116">
        <v>266.0</v>
      </c>
      <c r="F23" s="116">
        <v>475.0</v>
      </c>
      <c r="G23" s="115">
        <v>95.0</v>
      </c>
      <c r="H23" s="118">
        <v>1885.0</v>
      </c>
      <c r="I23" s="115">
        <v>1600.0</v>
      </c>
    </row>
    <row r="24">
      <c r="B24" s="117"/>
      <c r="C24" s="110" t="s">
        <v>12</v>
      </c>
      <c r="D24" s="115">
        <v>1146.0</v>
      </c>
      <c r="E24" s="116">
        <v>303.0</v>
      </c>
      <c r="F24" s="116">
        <v>843.0</v>
      </c>
      <c r="G24" s="115">
        <v>259.0</v>
      </c>
      <c r="H24" s="118">
        <v>2045.0</v>
      </c>
      <c r="I24" s="115">
        <v>1600.0</v>
      </c>
    </row>
    <row r="25">
      <c r="B25" s="117"/>
      <c r="C25" s="110" t="s">
        <v>13</v>
      </c>
      <c r="D25" s="115">
        <v>1132.0</v>
      </c>
      <c r="E25" s="116">
        <v>233.0</v>
      </c>
      <c r="F25" s="116">
        <v>899.0</v>
      </c>
      <c r="G25" s="115">
        <v>264.0</v>
      </c>
      <c r="H25" s="118">
        <v>2107.0</v>
      </c>
      <c r="I25" s="115">
        <v>983.0</v>
      </c>
    </row>
    <row r="26">
      <c r="B26" s="117"/>
      <c r="C26" s="110" t="s">
        <v>14</v>
      </c>
      <c r="D26" s="115">
        <v>1110.0</v>
      </c>
      <c r="E26" s="116">
        <v>234.0</v>
      </c>
      <c r="F26" s="116">
        <v>876.0</v>
      </c>
      <c r="G26" s="116">
        <v>173.0</v>
      </c>
      <c r="H26" s="118">
        <v>2153.0</v>
      </c>
      <c r="I26" s="115">
        <v>236.0</v>
      </c>
    </row>
    <row r="27">
      <c r="B27" s="117"/>
      <c r="C27" s="110" t="s">
        <v>15</v>
      </c>
      <c r="D27" s="115">
        <v>948.0</v>
      </c>
      <c r="E27" s="116">
        <v>207.0</v>
      </c>
      <c r="F27" s="116">
        <v>741.0</v>
      </c>
      <c r="G27" s="116">
        <v>127.0</v>
      </c>
      <c r="H27" s="118">
        <v>2181.0</v>
      </c>
      <c r="I27" s="115">
        <v>122.0</v>
      </c>
    </row>
    <row r="28">
      <c r="B28" s="117"/>
      <c r="C28" s="110" t="s">
        <v>16</v>
      </c>
      <c r="D28" s="115">
        <v>516.0</v>
      </c>
      <c r="E28" s="116">
        <v>121.0</v>
      </c>
      <c r="F28" s="116">
        <v>395.0</v>
      </c>
      <c r="G28" s="116">
        <v>135.0</v>
      </c>
      <c r="H28" s="120">
        <v>2284.0</v>
      </c>
      <c r="I28" s="116">
        <v>522.0</v>
      </c>
    </row>
    <row r="29">
      <c r="B29" s="125"/>
      <c r="C29" s="110" t="s">
        <v>17</v>
      </c>
      <c r="D29" s="110">
        <v>8234.0</v>
      </c>
      <c r="E29" s="110">
        <v>2376.0</v>
      </c>
      <c r="F29" s="110">
        <v>5858.0</v>
      </c>
      <c r="G29" s="110">
        <v>1545.0</v>
      </c>
      <c r="H29" s="109">
        <v>2284.0</v>
      </c>
      <c r="I29" s="110">
        <v>7683.0</v>
      </c>
    </row>
    <row r="32">
      <c r="U32" s="111"/>
      <c r="V32" s="111"/>
      <c r="W32" s="111"/>
      <c r="X32" s="111"/>
    </row>
    <row r="33">
      <c r="U33" s="122"/>
      <c r="W33" s="126"/>
      <c r="X33" s="122"/>
    </row>
    <row r="34">
      <c r="U34" s="111"/>
      <c r="V34" s="112"/>
      <c r="X34" s="112"/>
    </row>
    <row r="35">
      <c r="C35" s="127" t="s">
        <v>3</v>
      </c>
      <c r="D35" s="128" t="s">
        <v>26</v>
      </c>
      <c r="E35" s="128" t="s">
        <v>62</v>
      </c>
      <c r="F35" s="128" t="s">
        <v>63</v>
      </c>
      <c r="G35" s="128" t="s">
        <v>64</v>
      </c>
      <c r="U35" s="111"/>
      <c r="V35" s="112"/>
      <c r="X35" s="112"/>
    </row>
    <row r="36">
      <c r="C36" s="129" t="s">
        <v>4</v>
      </c>
      <c r="D36" s="130">
        <v>155.0</v>
      </c>
      <c r="E36" s="130">
        <v>0.0</v>
      </c>
      <c r="F36" s="130">
        <v>0.0</v>
      </c>
      <c r="G36" s="130">
        <v>0.0</v>
      </c>
      <c r="U36" s="111"/>
      <c r="V36" s="112"/>
      <c r="X36" s="112"/>
    </row>
    <row r="37">
      <c r="C37" s="129" t="s">
        <v>6</v>
      </c>
      <c r="D37" s="130">
        <v>113.0</v>
      </c>
      <c r="E37" s="130">
        <v>52.0</v>
      </c>
      <c r="F37" s="130">
        <v>40.0</v>
      </c>
      <c r="G37" s="130">
        <v>21.0</v>
      </c>
      <c r="U37" s="111"/>
      <c r="V37" s="113"/>
      <c r="X37" s="113"/>
    </row>
    <row r="38">
      <c r="C38" s="129" t="s">
        <v>7</v>
      </c>
      <c r="D38" s="130">
        <v>177.0</v>
      </c>
      <c r="E38" s="130">
        <v>53.0</v>
      </c>
      <c r="F38" s="130">
        <v>76.0</v>
      </c>
      <c r="G38" s="130">
        <v>11.0</v>
      </c>
      <c r="U38" s="111"/>
      <c r="V38" s="113"/>
      <c r="X38" s="113"/>
    </row>
    <row r="39">
      <c r="C39" s="129" t="s">
        <v>8</v>
      </c>
      <c r="D39" s="130">
        <v>159.0</v>
      </c>
      <c r="E39" s="130">
        <v>65.0</v>
      </c>
      <c r="F39" s="130">
        <v>44.0</v>
      </c>
      <c r="G39" s="130">
        <v>12.0</v>
      </c>
      <c r="U39" s="111"/>
      <c r="V39" s="113"/>
      <c r="X39" s="113"/>
    </row>
    <row r="40">
      <c r="C40" s="129" t="s">
        <v>9</v>
      </c>
      <c r="D40" s="130">
        <v>163.0</v>
      </c>
      <c r="E40" s="130">
        <v>71.0</v>
      </c>
      <c r="F40" s="130">
        <v>49.0</v>
      </c>
      <c r="G40" s="130">
        <v>8.0</v>
      </c>
      <c r="U40" s="111"/>
      <c r="V40" s="119"/>
      <c r="X40" s="119"/>
    </row>
    <row r="41">
      <c r="C41" s="129" t="s">
        <v>10</v>
      </c>
      <c r="D41" s="130">
        <v>245.0</v>
      </c>
      <c r="E41" s="130">
        <v>74.0</v>
      </c>
      <c r="F41" s="130">
        <v>89.0</v>
      </c>
      <c r="G41" s="130">
        <v>39.0</v>
      </c>
      <c r="U41" s="111"/>
      <c r="V41" s="119"/>
      <c r="X41" s="119"/>
    </row>
    <row r="42">
      <c r="C42" s="129" t="s">
        <v>11</v>
      </c>
      <c r="D42" s="130">
        <v>266.0</v>
      </c>
      <c r="E42" s="130">
        <v>107.0</v>
      </c>
      <c r="F42" s="130">
        <v>53.0</v>
      </c>
      <c r="G42" s="130">
        <v>89.0</v>
      </c>
      <c r="U42" s="111"/>
      <c r="V42" s="119"/>
      <c r="X42" s="119"/>
    </row>
    <row r="43">
      <c r="C43" s="129" t="s">
        <v>12</v>
      </c>
      <c r="D43" s="130">
        <v>303.0</v>
      </c>
      <c r="E43" s="130">
        <v>118.0</v>
      </c>
      <c r="F43" s="130">
        <v>54.0</v>
      </c>
      <c r="G43" s="130">
        <v>32.0</v>
      </c>
      <c r="U43" s="111"/>
      <c r="V43" s="119"/>
      <c r="X43" s="119"/>
    </row>
    <row r="44">
      <c r="C44" s="129" t="s">
        <v>13</v>
      </c>
      <c r="D44" s="130">
        <v>233.0</v>
      </c>
      <c r="E44" s="130">
        <v>118.0</v>
      </c>
      <c r="F44" s="130">
        <v>54.0</v>
      </c>
      <c r="G44" s="130">
        <v>25.0</v>
      </c>
      <c r="U44" s="111"/>
      <c r="V44" s="119"/>
      <c r="X44" s="119"/>
    </row>
    <row r="45">
      <c r="C45" s="129" t="s">
        <v>14</v>
      </c>
      <c r="D45" s="130">
        <v>234.0</v>
      </c>
      <c r="E45" s="130">
        <v>106.0</v>
      </c>
      <c r="F45" s="130">
        <v>51.0</v>
      </c>
      <c r="G45" s="130">
        <v>11.0</v>
      </c>
      <c r="U45" s="111"/>
      <c r="V45" s="121"/>
      <c r="X45" s="121"/>
    </row>
    <row r="46">
      <c r="C46" s="129" t="s">
        <v>15</v>
      </c>
      <c r="D46" s="130">
        <v>207.0</v>
      </c>
      <c r="E46" s="130">
        <v>121.0</v>
      </c>
      <c r="F46" s="130">
        <v>36.0</v>
      </c>
      <c r="G46" s="130">
        <v>6.0</v>
      </c>
    </row>
    <row r="47">
      <c r="C47" s="129" t="s">
        <v>16</v>
      </c>
      <c r="D47" s="130">
        <v>121.0</v>
      </c>
      <c r="E47" s="130">
        <v>52.0</v>
      </c>
      <c r="F47" s="130">
        <v>17.0</v>
      </c>
      <c r="G47" s="130">
        <v>7.0</v>
      </c>
    </row>
    <row r="48">
      <c r="C48" s="129" t="s">
        <v>17</v>
      </c>
      <c r="D48" s="131">
        <v>2376.0</v>
      </c>
      <c r="E48" s="131">
        <v>937.0</v>
      </c>
      <c r="F48" s="131">
        <v>563.0</v>
      </c>
      <c r="G48" s="131">
        <v>261.0</v>
      </c>
    </row>
    <row r="70">
      <c r="B70" s="132" t="s">
        <v>3</v>
      </c>
      <c r="C70" s="133" t="s">
        <v>26</v>
      </c>
      <c r="D70" s="133" t="s">
        <v>62</v>
      </c>
      <c r="E70" s="133" t="s">
        <v>63</v>
      </c>
      <c r="F70" s="133" t="s">
        <v>64</v>
      </c>
    </row>
    <row r="71">
      <c r="B71" s="134" t="s">
        <v>4</v>
      </c>
      <c r="C71" s="135">
        <v>155.0</v>
      </c>
      <c r="D71" s="135">
        <v>0.0</v>
      </c>
      <c r="E71" s="135">
        <v>0.0</v>
      </c>
      <c r="F71" s="135">
        <v>0.0</v>
      </c>
    </row>
    <row r="72">
      <c r="B72" s="134" t="s">
        <v>6</v>
      </c>
      <c r="C72" s="135">
        <v>113.0</v>
      </c>
      <c r="D72" s="135">
        <v>52.0</v>
      </c>
      <c r="E72" s="135">
        <v>40.0</v>
      </c>
      <c r="F72" s="135">
        <v>21.0</v>
      </c>
    </row>
    <row r="73">
      <c r="B73" s="134" t="s">
        <v>7</v>
      </c>
      <c r="C73" s="135">
        <v>177.0</v>
      </c>
      <c r="D73" s="135">
        <v>53.0</v>
      </c>
      <c r="E73" s="135">
        <v>76.0</v>
      </c>
      <c r="F73" s="135">
        <v>11.0</v>
      </c>
    </row>
    <row r="74">
      <c r="B74" s="134" t="s">
        <v>8</v>
      </c>
      <c r="C74" s="135">
        <v>159.0</v>
      </c>
      <c r="D74" s="135">
        <v>65.0</v>
      </c>
      <c r="E74" s="135">
        <v>44.0</v>
      </c>
      <c r="F74" s="135">
        <v>12.0</v>
      </c>
    </row>
    <row r="75">
      <c r="B75" s="134" t="s">
        <v>9</v>
      </c>
      <c r="C75" s="135">
        <v>163.0</v>
      </c>
      <c r="D75" s="135">
        <v>71.0</v>
      </c>
      <c r="E75" s="135">
        <v>49.0</v>
      </c>
      <c r="F75" s="135">
        <v>8.0</v>
      </c>
    </row>
    <row r="76">
      <c r="B76" s="134" t="s">
        <v>10</v>
      </c>
      <c r="C76" s="135">
        <v>245.0</v>
      </c>
      <c r="D76" s="135">
        <v>74.0</v>
      </c>
      <c r="E76" s="135">
        <v>89.0</v>
      </c>
      <c r="F76" s="135">
        <v>39.0</v>
      </c>
    </row>
    <row r="77">
      <c r="B77" s="134" t="s">
        <v>11</v>
      </c>
      <c r="C77" s="135">
        <v>266.0</v>
      </c>
      <c r="D77" s="135">
        <v>107.0</v>
      </c>
      <c r="E77" s="135">
        <v>53.0</v>
      </c>
      <c r="F77" s="135">
        <v>89.0</v>
      </c>
    </row>
    <row r="78">
      <c r="B78" s="134" t="s">
        <v>12</v>
      </c>
      <c r="C78" s="135">
        <v>303.0</v>
      </c>
      <c r="D78" s="135">
        <v>118.0</v>
      </c>
      <c r="E78" s="135">
        <v>54.0</v>
      </c>
      <c r="F78" s="135">
        <v>32.0</v>
      </c>
    </row>
    <row r="79">
      <c r="B79" s="134" t="s">
        <v>13</v>
      </c>
      <c r="C79" s="135">
        <v>233.0</v>
      </c>
      <c r="D79" s="135">
        <v>118.0</v>
      </c>
      <c r="E79" s="135">
        <v>54.0</v>
      </c>
      <c r="F79" s="135">
        <v>25.0</v>
      </c>
    </row>
    <row r="80">
      <c r="B80" s="134" t="s">
        <v>14</v>
      </c>
      <c r="C80" s="135">
        <v>234.0</v>
      </c>
      <c r="D80" s="135">
        <v>106.0</v>
      </c>
      <c r="E80" s="135">
        <v>51.0</v>
      </c>
      <c r="F80" s="135">
        <v>11.0</v>
      </c>
    </row>
    <row r="81">
      <c r="B81" s="134" t="s">
        <v>15</v>
      </c>
      <c r="C81" s="135">
        <v>207.0</v>
      </c>
      <c r="D81" s="135">
        <v>121.0</v>
      </c>
      <c r="E81" s="135">
        <v>36.0</v>
      </c>
      <c r="F81" s="135">
        <v>6.0</v>
      </c>
    </row>
    <row r="82">
      <c r="B82" s="134" t="s">
        <v>16</v>
      </c>
      <c r="C82" s="135">
        <v>121.0</v>
      </c>
      <c r="D82" s="135">
        <v>52.0</v>
      </c>
      <c r="E82" s="135">
        <v>17.0</v>
      </c>
      <c r="F82" s="135">
        <v>7.0</v>
      </c>
    </row>
    <row r="83">
      <c r="B83" s="134" t="s">
        <v>17</v>
      </c>
      <c r="C83" s="136">
        <v>2376.0</v>
      </c>
      <c r="D83" s="136">
        <v>937.0</v>
      </c>
      <c r="E83" s="136">
        <v>563.0</v>
      </c>
      <c r="F83" s="136">
        <v>261.0</v>
      </c>
    </row>
    <row r="93">
      <c r="A93" s="137"/>
      <c r="B93" s="138"/>
      <c r="C93" s="138"/>
      <c r="D93" s="138"/>
      <c r="E93" s="138"/>
      <c r="F93" s="138"/>
      <c r="G93" s="138"/>
      <c r="H93" s="138"/>
      <c r="I93" s="138"/>
      <c r="J93" s="140"/>
      <c r="K93" s="140"/>
      <c r="L93" s="140"/>
      <c r="M93" s="140"/>
      <c r="N93" s="138"/>
    </row>
    <row r="94">
      <c r="A94" s="141"/>
      <c r="B94" s="65"/>
      <c r="C94" s="65"/>
      <c r="D94" s="65"/>
      <c r="E94" s="142"/>
      <c r="F94" s="85"/>
      <c r="G94" s="65"/>
      <c r="H94" s="65"/>
      <c r="I94" s="65"/>
      <c r="J94" s="65"/>
      <c r="K94" s="85"/>
      <c r="L94" s="85"/>
      <c r="M94" s="65"/>
      <c r="N94" s="143"/>
    </row>
    <row r="95">
      <c r="A95" s="13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1"/>
    </row>
    <row r="96">
      <c r="A96" s="13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1"/>
    </row>
    <row r="97">
      <c r="A97" s="13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1"/>
    </row>
    <row r="103">
      <c r="A103" s="144" t="s">
        <v>78</v>
      </c>
      <c r="B103" s="144" t="s">
        <v>79</v>
      </c>
    </row>
    <row r="104">
      <c r="A104" s="67" t="s">
        <v>80</v>
      </c>
      <c r="B104" s="145">
        <v>2267.0</v>
      </c>
      <c r="Q104" s="146" t="s">
        <v>3</v>
      </c>
      <c r="R104" s="146" t="s">
        <v>26</v>
      </c>
      <c r="S104" s="146" t="s">
        <v>62</v>
      </c>
      <c r="T104" s="146" t="s">
        <v>63</v>
      </c>
      <c r="U104" s="146" t="s">
        <v>64</v>
      </c>
    </row>
    <row r="105">
      <c r="A105" s="67" t="s">
        <v>81</v>
      </c>
      <c r="B105" s="145">
        <v>1975.0</v>
      </c>
      <c r="Q105" s="146" t="s">
        <v>4</v>
      </c>
      <c r="R105" s="147">
        <v>155.0</v>
      </c>
      <c r="S105" s="148">
        <v>0.0</v>
      </c>
      <c r="T105" s="148">
        <v>0.0</v>
      </c>
      <c r="U105" s="148">
        <v>0.0</v>
      </c>
    </row>
    <row r="106">
      <c r="A106" s="67" t="s">
        <v>82</v>
      </c>
      <c r="B106" s="145">
        <v>525.0</v>
      </c>
      <c r="Q106" s="146" t="s">
        <v>6</v>
      </c>
      <c r="R106" s="147">
        <v>113.0</v>
      </c>
      <c r="S106" s="147">
        <v>52.0</v>
      </c>
      <c r="T106" s="147">
        <v>40.0</v>
      </c>
      <c r="U106" s="147">
        <v>21.0</v>
      </c>
    </row>
    <row r="107">
      <c r="A107" s="67" t="s">
        <v>83</v>
      </c>
      <c r="B107" s="145">
        <v>206.0</v>
      </c>
      <c r="Q107" s="146" t="s">
        <v>7</v>
      </c>
      <c r="R107" s="147">
        <v>177.0</v>
      </c>
      <c r="S107" s="147">
        <v>53.0</v>
      </c>
      <c r="T107" s="147">
        <v>76.0</v>
      </c>
      <c r="U107" s="147">
        <v>11.0</v>
      </c>
    </row>
    <row r="108">
      <c r="A108" s="67" t="s">
        <v>84</v>
      </c>
      <c r="B108" s="145">
        <v>146.0</v>
      </c>
      <c r="Q108" s="146" t="s">
        <v>8</v>
      </c>
      <c r="R108" s="147">
        <v>159.0</v>
      </c>
      <c r="S108" s="147">
        <v>65.0</v>
      </c>
      <c r="T108" s="147">
        <v>44.0</v>
      </c>
      <c r="U108" s="147">
        <v>12.0</v>
      </c>
    </row>
    <row r="109">
      <c r="A109" s="67" t="s">
        <v>85</v>
      </c>
      <c r="B109" s="145">
        <v>102.0</v>
      </c>
      <c r="Q109" s="146" t="s">
        <v>9</v>
      </c>
      <c r="R109" s="147">
        <v>163.0</v>
      </c>
      <c r="S109" s="147">
        <v>71.0</v>
      </c>
      <c r="T109" s="147">
        <v>49.0</v>
      </c>
      <c r="U109" s="147">
        <v>8.0</v>
      </c>
    </row>
    <row r="110">
      <c r="A110" s="67" t="s">
        <v>86</v>
      </c>
      <c r="B110" s="145">
        <v>96.0</v>
      </c>
      <c r="Q110" s="146" t="s">
        <v>10</v>
      </c>
      <c r="R110" s="147">
        <v>245.0</v>
      </c>
      <c r="S110" s="147">
        <v>74.0</v>
      </c>
      <c r="T110" s="147">
        <v>89.0</v>
      </c>
      <c r="U110" s="147">
        <v>39.0</v>
      </c>
    </row>
    <row r="111">
      <c r="A111" s="67" t="s">
        <v>87</v>
      </c>
      <c r="B111" s="145">
        <v>81.0</v>
      </c>
      <c r="Q111" s="146" t="s">
        <v>11</v>
      </c>
      <c r="R111" s="147">
        <v>266.0</v>
      </c>
      <c r="S111" s="147">
        <v>107.0</v>
      </c>
      <c r="T111" s="147">
        <v>53.0</v>
      </c>
      <c r="U111" s="147">
        <v>89.0</v>
      </c>
    </row>
    <row r="112">
      <c r="A112" s="67" t="s">
        <v>88</v>
      </c>
      <c r="B112" s="145">
        <v>74.0</v>
      </c>
      <c r="Q112" s="146" t="s">
        <v>12</v>
      </c>
      <c r="R112" s="147">
        <v>303.0</v>
      </c>
      <c r="S112" s="147">
        <v>118.0</v>
      </c>
      <c r="T112" s="147">
        <v>54.0</v>
      </c>
      <c r="U112" s="147">
        <v>32.0</v>
      </c>
    </row>
    <row r="113">
      <c r="A113" s="67" t="s">
        <v>89</v>
      </c>
      <c r="B113" s="145">
        <v>49.0</v>
      </c>
      <c r="Q113" s="146" t="s">
        <v>13</v>
      </c>
      <c r="R113" s="147">
        <v>233.0</v>
      </c>
      <c r="S113" s="147">
        <v>118.0</v>
      </c>
      <c r="T113" s="147">
        <v>54.0</v>
      </c>
      <c r="U113" s="147">
        <v>25.0</v>
      </c>
    </row>
    <row r="114">
      <c r="A114" s="67" t="s">
        <v>90</v>
      </c>
      <c r="B114" s="67">
        <v>43.0</v>
      </c>
      <c r="Q114" s="146" t="s">
        <v>14</v>
      </c>
      <c r="R114" s="147">
        <v>234.0</v>
      </c>
      <c r="S114" s="147">
        <v>106.0</v>
      </c>
      <c r="T114" s="147">
        <v>51.0</v>
      </c>
      <c r="U114" s="147">
        <v>11.0</v>
      </c>
    </row>
    <row r="115">
      <c r="A115" s="67" t="s">
        <v>91</v>
      </c>
      <c r="B115" s="67">
        <v>42.0</v>
      </c>
      <c r="Q115" s="146" t="s">
        <v>15</v>
      </c>
      <c r="R115" s="147">
        <v>207.0</v>
      </c>
      <c r="S115" s="147">
        <v>121.0</v>
      </c>
      <c r="T115" s="147">
        <v>36.0</v>
      </c>
      <c r="U115" s="147">
        <v>6.0</v>
      </c>
    </row>
    <row r="116">
      <c r="A116" s="67" t="s">
        <v>92</v>
      </c>
      <c r="B116" s="67">
        <v>42.0</v>
      </c>
      <c r="Q116" s="146" t="s">
        <v>16</v>
      </c>
      <c r="R116" s="147">
        <v>121.0</v>
      </c>
      <c r="S116" s="147">
        <v>52.0</v>
      </c>
      <c r="T116" s="147">
        <v>17.0</v>
      </c>
      <c r="U116" s="147">
        <v>7.0</v>
      </c>
    </row>
    <row r="117">
      <c r="A117" s="67" t="s">
        <v>93</v>
      </c>
      <c r="B117" s="67">
        <v>34.0</v>
      </c>
      <c r="Q117" s="146" t="s">
        <v>17</v>
      </c>
      <c r="R117" s="146">
        <v>2376.0</v>
      </c>
      <c r="S117" s="146">
        <v>937.0</v>
      </c>
      <c r="T117" s="146">
        <v>563.0</v>
      </c>
      <c r="U117" s="146">
        <v>261.0</v>
      </c>
    </row>
    <row r="118">
      <c r="A118" s="67" t="s">
        <v>94</v>
      </c>
      <c r="B118" s="67">
        <v>31.0</v>
      </c>
    </row>
    <row r="119">
      <c r="A119" s="67" t="s">
        <v>95</v>
      </c>
      <c r="B119" s="67">
        <v>31.0</v>
      </c>
    </row>
    <row r="120">
      <c r="A120" s="67" t="s">
        <v>96</v>
      </c>
      <c r="B120" s="67">
        <v>23.0</v>
      </c>
    </row>
    <row r="121">
      <c r="A121" s="67" t="s">
        <v>97</v>
      </c>
      <c r="B121" s="67">
        <v>19.0</v>
      </c>
    </row>
    <row r="122">
      <c r="A122" s="67" t="s">
        <v>98</v>
      </c>
      <c r="B122" s="67">
        <v>18.0</v>
      </c>
    </row>
    <row r="123">
      <c r="A123" s="67" t="s">
        <v>99</v>
      </c>
      <c r="B123" s="67">
        <v>16.0</v>
      </c>
    </row>
    <row r="124">
      <c r="A124" s="67" t="s">
        <v>100</v>
      </c>
      <c r="B124" s="67">
        <v>15.0</v>
      </c>
    </row>
    <row r="125">
      <c r="A125" s="67" t="s">
        <v>101</v>
      </c>
      <c r="B125" s="67">
        <v>13.0</v>
      </c>
    </row>
    <row r="126">
      <c r="A126" s="67" t="s">
        <v>102</v>
      </c>
      <c r="B126" s="67">
        <v>12.0</v>
      </c>
    </row>
    <row r="127">
      <c r="A127" s="67" t="s">
        <v>103</v>
      </c>
      <c r="B127" s="67">
        <v>11.0</v>
      </c>
    </row>
    <row r="128">
      <c r="A128" s="67" t="s">
        <v>104</v>
      </c>
      <c r="B128" s="67">
        <v>10.0</v>
      </c>
    </row>
    <row r="129">
      <c r="A129" s="67" t="s">
        <v>105</v>
      </c>
      <c r="B129" s="67">
        <v>10.0</v>
      </c>
    </row>
    <row r="130">
      <c r="A130" s="67" t="s">
        <v>106</v>
      </c>
      <c r="B130" s="67">
        <v>9.0</v>
      </c>
    </row>
    <row r="131">
      <c r="A131" s="67" t="s">
        <v>107</v>
      </c>
      <c r="B131" s="67">
        <v>9.0</v>
      </c>
    </row>
    <row r="132">
      <c r="A132" s="67" t="s">
        <v>108</v>
      </c>
      <c r="B132" s="67">
        <v>8.0</v>
      </c>
    </row>
    <row r="133">
      <c r="A133" s="67" t="s">
        <v>109</v>
      </c>
      <c r="B133" s="67">
        <v>8.0</v>
      </c>
    </row>
    <row r="134">
      <c r="A134" s="67" t="s">
        <v>110</v>
      </c>
      <c r="B134" s="67">
        <v>7.0</v>
      </c>
    </row>
    <row r="135">
      <c r="A135" s="67" t="s">
        <v>111</v>
      </c>
      <c r="B135" s="67">
        <v>7.0</v>
      </c>
    </row>
    <row r="136">
      <c r="A136" s="67" t="s">
        <v>112</v>
      </c>
      <c r="B136" s="67">
        <v>6.0</v>
      </c>
    </row>
    <row r="137">
      <c r="A137" s="67" t="s">
        <v>113</v>
      </c>
      <c r="B137" s="67">
        <v>6.0</v>
      </c>
    </row>
    <row r="138">
      <c r="A138" s="67" t="s">
        <v>114</v>
      </c>
      <c r="B138" s="67">
        <v>6.0</v>
      </c>
    </row>
    <row r="139">
      <c r="A139" s="67" t="s">
        <v>115</v>
      </c>
      <c r="B139" s="67">
        <v>6.0</v>
      </c>
    </row>
    <row r="140">
      <c r="A140" s="67" t="s">
        <v>116</v>
      </c>
      <c r="B140" s="67">
        <v>5.0</v>
      </c>
    </row>
    <row r="141">
      <c r="A141" s="67" t="s">
        <v>117</v>
      </c>
      <c r="B141" s="67">
        <v>5.0</v>
      </c>
    </row>
    <row r="142">
      <c r="A142" s="67" t="s">
        <v>118</v>
      </c>
      <c r="B142" s="67">
        <v>4.0</v>
      </c>
    </row>
    <row r="143">
      <c r="A143" s="67" t="s">
        <v>119</v>
      </c>
      <c r="B143" s="67">
        <v>4.0</v>
      </c>
    </row>
    <row r="144">
      <c r="A144" s="67" t="s">
        <v>120</v>
      </c>
      <c r="B144" s="67">
        <v>4.0</v>
      </c>
    </row>
    <row r="145">
      <c r="A145" s="67" t="s">
        <v>121</v>
      </c>
      <c r="B145" s="67">
        <v>3.0</v>
      </c>
    </row>
    <row r="146">
      <c r="A146" s="67" t="s">
        <v>122</v>
      </c>
      <c r="B146" s="67">
        <v>3.0</v>
      </c>
    </row>
    <row r="147">
      <c r="A147" s="67" t="s">
        <v>123</v>
      </c>
      <c r="B147" s="67">
        <v>3.0</v>
      </c>
    </row>
    <row r="148">
      <c r="A148" s="67" t="s">
        <v>124</v>
      </c>
      <c r="B148" s="67">
        <v>3.0</v>
      </c>
    </row>
    <row r="149">
      <c r="A149" s="67" t="s">
        <v>125</v>
      </c>
      <c r="B149" s="67">
        <v>3.0</v>
      </c>
    </row>
    <row r="150">
      <c r="A150" s="67" t="s">
        <v>126</v>
      </c>
      <c r="B150" s="67">
        <v>3.0</v>
      </c>
    </row>
    <row r="151">
      <c r="A151" s="67" t="s">
        <v>127</v>
      </c>
      <c r="B151" s="67">
        <v>3.0</v>
      </c>
    </row>
    <row r="152">
      <c r="A152" s="67" t="s">
        <v>128</v>
      </c>
      <c r="B152" s="67">
        <v>2.0</v>
      </c>
    </row>
    <row r="153">
      <c r="A153" s="67" t="s">
        <v>129</v>
      </c>
      <c r="B153" s="67">
        <v>2.0</v>
      </c>
    </row>
    <row r="154">
      <c r="A154" s="67" t="s">
        <v>130</v>
      </c>
      <c r="B154" s="67">
        <v>2.0</v>
      </c>
    </row>
    <row r="155">
      <c r="A155" s="67" t="s">
        <v>131</v>
      </c>
      <c r="B155" s="67">
        <v>2.0</v>
      </c>
    </row>
    <row r="156">
      <c r="A156" s="67" t="s">
        <v>132</v>
      </c>
      <c r="B156" s="67">
        <v>2.0</v>
      </c>
    </row>
    <row r="157">
      <c r="A157" s="67" t="s">
        <v>133</v>
      </c>
      <c r="B157" s="67">
        <v>2.0</v>
      </c>
    </row>
    <row r="158">
      <c r="A158" s="67" t="s">
        <v>134</v>
      </c>
      <c r="B158" s="67">
        <v>2.0</v>
      </c>
    </row>
    <row r="159">
      <c r="A159" s="67" t="s">
        <v>135</v>
      </c>
      <c r="B159" s="67">
        <v>2.0</v>
      </c>
    </row>
    <row r="160">
      <c r="A160" s="67" t="s">
        <v>136</v>
      </c>
      <c r="B160" s="67">
        <v>2.0</v>
      </c>
    </row>
    <row r="161">
      <c r="A161" s="67" t="s">
        <v>137</v>
      </c>
      <c r="B161" s="67">
        <v>2.0</v>
      </c>
    </row>
    <row r="162">
      <c r="A162" s="67" t="s">
        <v>138</v>
      </c>
      <c r="B162" s="67">
        <v>2.0</v>
      </c>
    </row>
    <row r="163">
      <c r="A163" s="67" t="s">
        <v>139</v>
      </c>
      <c r="B163" s="67">
        <v>2.0</v>
      </c>
    </row>
    <row r="164">
      <c r="A164" s="67" t="s">
        <v>140</v>
      </c>
      <c r="B164" s="67">
        <v>2.0</v>
      </c>
    </row>
    <row r="165">
      <c r="A165" s="67" t="s">
        <v>141</v>
      </c>
      <c r="B165" s="67">
        <v>2.0</v>
      </c>
    </row>
    <row r="166">
      <c r="A166" s="67" t="s">
        <v>142</v>
      </c>
      <c r="B166" s="67">
        <v>2.0</v>
      </c>
    </row>
    <row r="167">
      <c r="A167" s="67" t="s">
        <v>143</v>
      </c>
      <c r="B167" s="67">
        <v>1.0</v>
      </c>
    </row>
    <row r="168">
      <c r="A168" s="67" t="s">
        <v>144</v>
      </c>
      <c r="B168" s="67">
        <v>1.0</v>
      </c>
    </row>
    <row r="169">
      <c r="A169" s="67" t="s">
        <v>145</v>
      </c>
      <c r="B169" s="67">
        <v>1.0</v>
      </c>
    </row>
    <row r="170">
      <c r="A170" s="67" t="s">
        <v>146</v>
      </c>
      <c r="B170" s="67">
        <v>1.0</v>
      </c>
    </row>
    <row r="171">
      <c r="A171" s="67" t="s">
        <v>147</v>
      </c>
      <c r="B171" s="67">
        <v>1.0</v>
      </c>
    </row>
    <row r="172">
      <c r="A172" s="67" t="s">
        <v>148</v>
      </c>
      <c r="B172" s="67">
        <v>1.0</v>
      </c>
    </row>
    <row r="173">
      <c r="A173" s="67" t="s">
        <v>149</v>
      </c>
      <c r="B173" s="67">
        <v>1.0</v>
      </c>
    </row>
    <row r="174">
      <c r="A174" s="67" t="s">
        <v>150</v>
      </c>
      <c r="B174" s="67">
        <v>1.0</v>
      </c>
    </row>
    <row r="175">
      <c r="A175" s="67" t="s">
        <v>151</v>
      </c>
      <c r="B175" s="67">
        <v>1.0</v>
      </c>
    </row>
    <row r="176">
      <c r="A176" s="67" t="s">
        <v>152</v>
      </c>
      <c r="B176" s="67">
        <v>1.0</v>
      </c>
    </row>
    <row r="177">
      <c r="A177" s="67" t="s">
        <v>153</v>
      </c>
      <c r="B177" s="67">
        <v>1.0</v>
      </c>
    </row>
    <row r="178">
      <c r="A178" s="67" t="s">
        <v>154</v>
      </c>
      <c r="B178" s="67">
        <v>1.0</v>
      </c>
    </row>
    <row r="179">
      <c r="A179" s="67" t="s">
        <v>155</v>
      </c>
      <c r="B179" s="67">
        <v>1.0</v>
      </c>
    </row>
    <row r="180">
      <c r="A180" s="67" t="s">
        <v>156</v>
      </c>
      <c r="B180" s="67">
        <v>1.0</v>
      </c>
    </row>
    <row r="181">
      <c r="A181" s="67" t="s">
        <v>157</v>
      </c>
      <c r="B181" s="67">
        <v>1.0</v>
      </c>
    </row>
    <row r="182">
      <c r="A182" s="67" t="s">
        <v>158</v>
      </c>
      <c r="B182" s="67">
        <v>1.0</v>
      </c>
    </row>
    <row r="183">
      <c r="A183" s="67" t="s">
        <v>160</v>
      </c>
      <c r="B183" s="67">
        <v>1.0</v>
      </c>
    </row>
    <row r="184">
      <c r="A184" s="67" t="s">
        <v>161</v>
      </c>
      <c r="B184" s="67">
        <v>1.0</v>
      </c>
    </row>
    <row r="185">
      <c r="A185" s="67" t="s">
        <v>162</v>
      </c>
      <c r="B185" s="67">
        <v>1.0</v>
      </c>
    </row>
    <row r="186">
      <c r="A186" s="67" t="s">
        <v>163</v>
      </c>
      <c r="B186" s="67">
        <v>1.0</v>
      </c>
    </row>
    <row r="187">
      <c r="A187" s="67" t="s">
        <v>164</v>
      </c>
      <c r="B187" s="67">
        <v>1.0</v>
      </c>
    </row>
    <row r="188">
      <c r="A188" s="67" t="s">
        <v>165</v>
      </c>
      <c r="B188" s="67">
        <v>1.0</v>
      </c>
    </row>
    <row r="189">
      <c r="A189" s="67" t="s">
        <v>166</v>
      </c>
      <c r="B189" s="67">
        <v>1.0</v>
      </c>
    </row>
    <row r="190">
      <c r="A190" s="67" t="s">
        <v>167</v>
      </c>
      <c r="B190" s="67">
        <v>1.0</v>
      </c>
    </row>
    <row r="191">
      <c r="A191" s="67" t="s">
        <v>168</v>
      </c>
      <c r="B191" s="67">
        <v>1.0</v>
      </c>
    </row>
    <row r="192">
      <c r="A192" s="67" t="s">
        <v>169</v>
      </c>
      <c r="B192" s="67">
        <v>1.0</v>
      </c>
    </row>
    <row r="193">
      <c r="A193" s="67" t="s">
        <v>170</v>
      </c>
      <c r="B193" s="67">
        <v>1.0</v>
      </c>
    </row>
    <row r="194">
      <c r="A194" s="67" t="s">
        <v>171</v>
      </c>
      <c r="B194" s="67">
        <v>1.0</v>
      </c>
    </row>
    <row r="195">
      <c r="A195" s="67" t="s">
        <v>172</v>
      </c>
      <c r="B195" s="67">
        <v>1.0</v>
      </c>
    </row>
    <row r="196">
      <c r="A196" s="67" t="s">
        <v>173</v>
      </c>
      <c r="B196" s="67">
        <v>1.0</v>
      </c>
    </row>
    <row r="197">
      <c r="A197" s="67" t="s">
        <v>174</v>
      </c>
      <c r="B197" s="67">
        <v>1.0</v>
      </c>
    </row>
    <row r="198">
      <c r="A198" s="67" t="s">
        <v>175</v>
      </c>
      <c r="B198" s="67">
        <v>1.0</v>
      </c>
    </row>
    <row r="199">
      <c r="A199" s="67" t="s">
        <v>176</v>
      </c>
      <c r="B199" s="67">
        <v>1.0</v>
      </c>
    </row>
    <row r="200">
      <c r="A200" s="67" t="s">
        <v>177</v>
      </c>
      <c r="B200" s="67">
        <v>1.0</v>
      </c>
    </row>
    <row r="201">
      <c r="A201" s="67" t="s">
        <v>178</v>
      </c>
      <c r="B201" s="67">
        <v>1.0</v>
      </c>
    </row>
    <row r="202">
      <c r="A202" s="67" t="s">
        <v>179</v>
      </c>
      <c r="B202" s="67">
        <v>1.0</v>
      </c>
    </row>
    <row r="203">
      <c r="A203" s="67" t="s">
        <v>180</v>
      </c>
      <c r="B203" s="67">
        <v>1.0</v>
      </c>
    </row>
    <row r="204">
      <c r="A204" s="67" t="s">
        <v>181</v>
      </c>
      <c r="B204" s="67">
        <v>1.0</v>
      </c>
    </row>
    <row r="205">
      <c r="A205" s="67" t="s">
        <v>182</v>
      </c>
      <c r="B205" s="67">
        <v>1.0</v>
      </c>
    </row>
    <row r="206">
      <c r="A206" s="67" t="s">
        <v>183</v>
      </c>
      <c r="B206" s="67">
        <v>1.0</v>
      </c>
    </row>
    <row r="207">
      <c r="A207" s="67" t="s">
        <v>184</v>
      </c>
      <c r="B207" s="67">
        <v>1.0</v>
      </c>
    </row>
    <row r="208">
      <c r="A208" s="67" t="s">
        <v>185</v>
      </c>
      <c r="B208" s="67">
        <v>1.0</v>
      </c>
    </row>
    <row r="209">
      <c r="A209" s="67" t="s">
        <v>186</v>
      </c>
      <c r="B209" s="67">
        <v>1.0</v>
      </c>
    </row>
    <row r="214">
      <c r="A214" s="144" t="s">
        <v>187</v>
      </c>
      <c r="B214" s="144" t="s">
        <v>79</v>
      </c>
    </row>
    <row r="215">
      <c r="A215" s="169" t="s">
        <v>81</v>
      </c>
      <c r="B215" s="24">
        <v>722.0</v>
      </c>
    </row>
    <row r="216">
      <c r="A216" s="169" t="s">
        <v>80</v>
      </c>
      <c r="B216" s="24">
        <v>649.0</v>
      </c>
    </row>
    <row r="217">
      <c r="A217" s="169" t="s">
        <v>82</v>
      </c>
      <c r="B217" s="24">
        <v>130.0</v>
      </c>
    </row>
    <row r="218">
      <c r="A218" s="169" t="s">
        <v>96</v>
      </c>
      <c r="B218" s="24">
        <v>51.0</v>
      </c>
    </row>
    <row r="219">
      <c r="A219" s="172" t="s">
        <v>89</v>
      </c>
      <c r="B219" s="24">
        <v>46.0</v>
      </c>
    </row>
    <row r="220">
      <c r="A220" s="172" t="s">
        <v>142</v>
      </c>
      <c r="B220" s="24">
        <v>43.0</v>
      </c>
    </row>
    <row r="221">
      <c r="A221" s="172" t="s">
        <v>84</v>
      </c>
      <c r="B221" s="24">
        <v>32.0</v>
      </c>
    </row>
    <row r="222">
      <c r="A222" s="169" t="s">
        <v>86</v>
      </c>
      <c r="B222" s="24">
        <v>29.0</v>
      </c>
    </row>
    <row r="223">
      <c r="A223" s="172" t="s">
        <v>90</v>
      </c>
      <c r="B223" s="24">
        <v>26.0</v>
      </c>
    </row>
    <row r="224">
      <c r="A224" s="172" t="s">
        <v>83</v>
      </c>
      <c r="B224" s="24">
        <v>24.0</v>
      </c>
    </row>
    <row r="225">
      <c r="A225" s="169" t="s">
        <v>105</v>
      </c>
      <c r="B225" s="24">
        <v>21.0</v>
      </c>
    </row>
    <row r="226">
      <c r="A226" s="169" t="s">
        <v>92</v>
      </c>
      <c r="B226" s="24">
        <v>16.0</v>
      </c>
    </row>
    <row r="227">
      <c r="A227" s="169" t="s">
        <v>107</v>
      </c>
      <c r="B227" s="24">
        <v>14.0</v>
      </c>
    </row>
    <row r="228">
      <c r="A228" s="172" t="s">
        <v>141</v>
      </c>
      <c r="B228" s="24">
        <v>13.0</v>
      </c>
    </row>
    <row r="229">
      <c r="A229" s="172" t="s">
        <v>134</v>
      </c>
      <c r="B229" s="24">
        <v>13.0</v>
      </c>
    </row>
    <row r="230">
      <c r="A230" s="172" t="s">
        <v>95</v>
      </c>
      <c r="B230" s="24">
        <v>12.0</v>
      </c>
    </row>
    <row r="231">
      <c r="A231" s="172" t="s">
        <v>113</v>
      </c>
      <c r="B231" s="24">
        <v>8.0</v>
      </c>
    </row>
    <row r="232">
      <c r="A232" s="169" t="s">
        <v>115</v>
      </c>
      <c r="B232" s="24">
        <v>8.0</v>
      </c>
    </row>
    <row r="233">
      <c r="A233" s="172" t="s">
        <v>102</v>
      </c>
      <c r="B233" s="24">
        <v>7.0</v>
      </c>
    </row>
    <row r="234">
      <c r="A234" s="172" t="s">
        <v>104</v>
      </c>
      <c r="B234" s="24">
        <v>7.0</v>
      </c>
    </row>
    <row r="235">
      <c r="A235" s="169" t="s">
        <v>106</v>
      </c>
      <c r="B235" s="24">
        <v>7.0</v>
      </c>
    </row>
    <row r="236">
      <c r="A236" s="169" t="s">
        <v>109</v>
      </c>
      <c r="B236" s="24">
        <v>7.0</v>
      </c>
    </row>
    <row r="237">
      <c r="A237" s="172" t="s">
        <v>85</v>
      </c>
      <c r="B237" s="24">
        <v>6.0</v>
      </c>
    </row>
    <row r="238">
      <c r="A238" s="172" t="s">
        <v>189</v>
      </c>
      <c r="B238" s="24">
        <v>4.0</v>
      </c>
    </row>
    <row r="239">
      <c r="A239" s="172" t="s">
        <v>190</v>
      </c>
      <c r="B239" s="24">
        <v>4.0</v>
      </c>
    </row>
    <row r="240">
      <c r="A240" s="172" t="s">
        <v>101</v>
      </c>
      <c r="B240" s="24">
        <v>4.0</v>
      </c>
    </row>
    <row r="241">
      <c r="A241" s="169" t="s">
        <v>108</v>
      </c>
      <c r="B241" s="24">
        <v>4.0</v>
      </c>
    </row>
    <row r="242">
      <c r="A242" s="174" t="s">
        <v>94</v>
      </c>
      <c r="B242" s="24">
        <v>4.0</v>
      </c>
    </row>
    <row r="243">
      <c r="A243" s="172" t="s">
        <v>191</v>
      </c>
      <c r="B243" s="24">
        <v>4.0</v>
      </c>
    </row>
    <row r="244">
      <c r="A244" s="172" t="s">
        <v>123</v>
      </c>
      <c r="B244" s="24">
        <v>4.0</v>
      </c>
    </row>
    <row r="245">
      <c r="A245" s="172" t="s">
        <v>120</v>
      </c>
      <c r="B245" s="24">
        <v>3.0</v>
      </c>
    </row>
    <row r="246">
      <c r="A246" s="172" t="s">
        <v>116</v>
      </c>
      <c r="B246" s="24">
        <v>3.0</v>
      </c>
    </row>
    <row r="247">
      <c r="A247" s="169" t="s">
        <v>111</v>
      </c>
      <c r="B247" s="24">
        <v>3.0</v>
      </c>
    </row>
    <row r="248">
      <c r="A248" s="174" t="s">
        <v>192</v>
      </c>
      <c r="B248" s="24">
        <v>2.0</v>
      </c>
    </row>
    <row r="249">
      <c r="A249" s="169" t="s">
        <v>193</v>
      </c>
      <c r="B249" s="24">
        <v>2.0</v>
      </c>
    </row>
    <row r="250">
      <c r="A250" s="172" t="s">
        <v>194</v>
      </c>
      <c r="B250" s="24">
        <v>2.0</v>
      </c>
    </row>
    <row r="251">
      <c r="A251" s="64" t="s">
        <v>195</v>
      </c>
      <c r="B251" s="24">
        <v>2.0</v>
      </c>
    </row>
    <row r="252">
      <c r="A252" s="172" t="s">
        <v>114</v>
      </c>
      <c r="B252" s="24">
        <v>2.0</v>
      </c>
    </row>
    <row r="253">
      <c r="A253" s="172" t="s">
        <v>178</v>
      </c>
      <c r="B253" s="24">
        <v>2.0</v>
      </c>
    </row>
    <row r="254">
      <c r="A254" s="172" t="s">
        <v>136</v>
      </c>
      <c r="B254" s="24">
        <v>2.0</v>
      </c>
    </row>
    <row r="255">
      <c r="A255" s="172" t="s">
        <v>196</v>
      </c>
      <c r="B255" s="24">
        <v>2.0</v>
      </c>
    </row>
    <row r="256">
      <c r="A256" s="172" t="s">
        <v>197</v>
      </c>
      <c r="B256" s="24">
        <v>2.0</v>
      </c>
    </row>
    <row r="257">
      <c r="A257" s="172" t="s">
        <v>198</v>
      </c>
      <c r="B257" s="24">
        <v>2.0</v>
      </c>
    </row>
    <row r="258">
      <c r="A258" s="172" t="s">
        <v>180</v>
      </c>
      <c r="B258" s="24">
        <v>2.0</v>
      </c>
    </row>
    <row r="259">
      <c r="A259" s="172" t="s">
        <v>199</v>
      </c>
      <c r="B259" s="24">
        <v>2.0</v>
      </c>
    </row>
    <row r="260">
      <c r="A260" s="172" t="s">
        <v>200</v>
      </c>
      <c r="B260" s="24">
        <v>2.0</v>
      </c>
    </row>
    <row r="261">
      <c r="A261" s="172" t="s">
        <v>99</v>
      </c>
      <c r="B261" s="24">
        <v>2.0</v>
      </c>
    </row>
    <row r="262">
      <c r="A262" s="172" t="s">
        <v>103</v>
      </c>
      <c r="B262" s="24">
        <v>2.0</v>
      </c>
    </row>
    <row r="263">
      <c r="A263" s="169" t="s">
        <v>112</v>
      </c>
      <c r="B263" s="24">
        <v>2.0</v>
      </c>
    </row>
    <row r="264">
      <c r="A264" s="174" t="s">
        <v>201</v>
      </c>
      <c r="B264" s="24">
        <v>1.0</v>
      </c>
    </row>
    <row r="265">
      <c r="A265" s="174" t="s">
        <v>183</v>
      </c>
      <c r="B265" s="24">
        <v>1.0</v>
      </c>
    </row>
    <row r="266">
      <c r="A266" s="172" t="s">
        <v>202</v>
      </c>
      <c r="B266" s="24">
        <v>1.0</v>
      </c>
    </row>
    <row r="267">
      <c r="A267" s="174" t="s">
        <v>162</v>
      </c>
      <c r="B267" s="24">
        <v>1.0</v>
      </c>
    </row>
    <row r="268">
      <c r="A268" s="172" t="s">
        <v>204</v>
      </c>
      <c r="B268" s="24">
        <v>1.0</v>
      </c>
    </row>
    <row r="269">
      <c r="A269" s="172" t="s">
        <v>205</v>
      </c>
      <c r="B269" s="24">
        <v>1.0</v>
      </c>
    </row>
    <row r="270">
      <c r="A270" s="172" t="s">
        <v>206</v>
      </c>
      <c r="B270" s="24">
        <v>1.0</v>
      </c>
    </row>
    <row r="271">
      <c r="A271" s="172" t="s">
        <v>207</v>
      </c>
      <c r="B271" s="24">
        <v>1.0</v>
      </c>
    </row>
    <row r="272">
      <c r="A272" s="172" t="s">
        <v>208</v>
      </c>
      <c r="B272" s="24">
        <v>1.0</v>
      </c>
    </row>
    <row r="273">
      <c r="A273" s="172" t="s">
        <v>209</v>
      </c>
      <c r="B273" s="24">
        <v>1.0</v>
      </c>
    </row>
    <row r="274">
      <c r="A274" s="64" t="s">
        <v>210</v>
      </c>
      <c r="B274" s="24">
        <v>1.0</v>
      </c>
    </row>
    <row r="275">
      <c r="A275" s="172" t="s">
        <v>138</v>
      </c>
      <c r="B275" s="24">
        <v>1.0</v>
      </c>
    </row>
    <row r="276">
      <c r="A276" s="174" t="s">
        <v>125</v>
      </c>
      <c r="B276" s="24">
        <v>1.0</v>
      </c>
    </row>
    <row r="277">
      <c r="A277" s="172" t="s">
        <v>211</v>
      </c>
      <c r="B277" s="24">
        <v>1.0</v>
      </c>
    </row>
    <row r="278">
      <c r="A278" s="174" t="s">
        <v>212</v>
      </c>
      <c r="B278" s="24">
        <v>1.0</v>
      </c>
    </row>
    <row r="279">
      <c r="A279" s="174" t="s">
        <v>213</v>
      </c>
      <c r="B279" s="24">
        <v>1.0</v>
      </c>
    </row>
    <row r="280">
      <c r="A280" s="174" t="s">
        <v>166</v>
      </c>
      <c r="B280" s="24">
        <v>1.0</v>
      </c>
    </row>
    <row r="281">
      <c r="A281" s="172" t="s">
        <v>174</v>
      </c>
      <c r="B281" s="24">
        <v>1.0</v>
      </c>
    </row>
    <row r="282">
      <c r="A282" s="174" t="s">
        <v>214</v>
      </c>
      <c r="B282" s="24">
        <v>1.0</v>
      </c>
    </row>
    <row r="283">
      <c r="A283" s="174" t="s">
        <v>215</v>
      </c>
      <c r="B283" s="24">
        <v>1.0</v>
      </c>
    </row>
    <row r="284">
      <c r="A284" s="172" t="s">
        <v>139</v>
      </c>
      <c r="B284" s="24">
        <v>1.0</v>
      </c>
    </row>
    <row r="285">
      <c r="A285" s="172" t="s">
        <v>216</v>
      </c>
      <c r="B285" s="24">
        <v>1.0</v>
      </c>
    </row>
    <row r="286">
      <c r="A286" s="172" t="s">
        <v>149</v>
      </c>
      <c r="B286" s="24">
        <v>1.0</v>
      </c>
    </row>
    <row r="287">
      <c r="A287" s="172" t="s">
        <v>217</v>
      </c>
      <c r="B287" s="24">
        <v>1.0</v>
      </c>
    </row>
    <row r="288">
      <c r="A288" s="172" t="s">
        <v>145</v>
      </c>
      <c r="B288" s="24">
        <v>1.0</v>
      </c>
    </row>
    <row r="289">
      <c r="A289" s="172" t="s">
        <v>130</v>
      </c>
      <c r="B289" s="24">
        <v>1.0</v>
      </c>
    </row>
    <row r="290">
      <c r="A290" s="172" t="s">
        <v>218</v>
      </c>
      <c r="B290" s="24">
        <v>1.0</v>
      </c>
    </row>
    <row r="291">
      <c r="A291" s="174" t="s">
        <v>219</v>
      </c>
      <c r="B291" s="24">
        <v>1.0</v>
      </c>
    </row>
    <row r="292">
      <c r="A292" s="172" t="s">
        <v>220</v>
      </c>
      <c r="B292" s="24">
        <v>1.0</v>
      </c>
    </row>
    <row r="293">
      <c r="A293" s="172" t="s">
        <v>221</v>
      </c>
      <c r="B293" s="24">
        <v>1.0</v>
      </c>
    </row>
    <row r="294">
      <c r="A294" s="174" t="s">
        <v>222</v>
      </c>
      <c r="B294" s="24">
        <v>1.0</v>
      </c>
    </row>
    <row r="295">
      <c r="A295" s="169" t="s">
        <v>223</v>
      </c>
      <c r="B295" s="24">
        <v>1.0</v>
      </c>
    </row>
    <row r="296">
      <c r="A296" s="174" t="s">
        <v>129</v>
      </c>
      <c r="B296" s="24">
        <v>1.0</v>
      </c>
    </row>
    <row r="297">
      <c r="A297" s="172" t="s">
        <v>224</v>
      </c>
      <c r="B297" s="24">
        <v>1.0</v>
      </c>
    </row>
    <row r="298">
      <c r="A298" s="172" t="s">
        <v>121</v>
      </c>
      <c r="B298" s="24">
        <v>1.0</v>
      </c>
    </row>
    <row r="299">
      <c r="A299" s="172" t="s">
        <v>170</v>
      </c>
      <c r="B299" s="24">
        <v>1.0</v>
      </c>
    </row>
    <row r="300">
      <c r="A300" s="169" t="s">
        <v>225</v>
      </c>
      <c r="B300" s="24">
        <v>1.0</v>
      </c>
    </row>
    <row r="301">
      <c r="A301" s="172" t="s">
        <v>128</v>
      </c>
      <c r="B301" s="24">
        <v>1.0</v>
      </c>
    </row>
    <row r="302">
      <c r="A302" s="172" t="s">
        <v>226</v>
      </c>
      <c r="B302" s="24">
        <v>1.0</v>
      </c>
    </row>
    <row r="303">
      <c r="A303" s="172" t="s">
        <v>227</v>
      </c>
      <c r="B303" s="24">
        <v>1.0</v>
      </c>
    </row>
    <row r="304">
      <c r="A304" s="169" t="s">
        <v>228</v>
      </c>
      <c r="B304" s="24">
        <v>1.0</v>
      </c>
    </row>
    <row r="305">
      <c r="A305" s="174" t="s">
        <v>135</v>
      </c>
      <c r="B305" s="24">
        <v>1.0</v>
      </c>
    </row>
    <row r="306">
      <c r="A306" s="172" t="s">
        <v>229</v>
      </c>
      <c r="B306" s="24">
        <v>1.0</v>
      </c>
    </row>
    <row r="307">
      <c r="A307" s="172" t="s">
        <v>230</v>
      </c>
      <c r="B307" s="24">
        <v>1.0</v>
      </c>
    </row>
  </sheetData>
  <mergeCells count="4">
    <mergeCell ref="B1:C1"/>
    <mergeCell ref="B2:B14"/>
    <mergeCell ref="B16:B29"/>
    <mergeCell ref="U33:V33"/>
  </mergeCells>
  <conditionalFormatting sqref="B94:M94">
    <cfRule type="colorScale" priority="1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95:M95">
    <cfRule type="colorScale" priority="2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96:M96">
    <cfRule type="colorScale" priority="3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97:M97">
    <cfRule type="colorScale" priority="4">
      <colorScale>
        <cfvo type="min"/>
        <cfvo type="percentile" val="50"/>
        <cfvo type="max"/>
        <color rgb="FFFFFFFF"/>
        <color rgb="FF00FF00"/>
        <color rgb="FF6AA84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5" max="5" width="24.38"/>
    <col customWidth="1" min="7" max="7" width="24.63"/>
  </cols>
  <sheetData>
    <row r="1">
      <c r="A1" s="88" t="s">
        <v>18</v>
      </c>
      <c r="B1" s="6"/>
      <c r="F1" s="88" t="s">
        <v>27</v>
      </c>
      <c r="G1" s="6"/>
      <c r="I1" s="195" t="s">
        <v>231</v>
      </c>
      <c r="J1" s="6"/>
      <c r="N1" s="88" t="s">
        <v>26</v>
      </c>
      <c r="O1" s="6"/>
      <c r="Q1" s="149"/>
      <c r="T1" s="196" t="s">
        <v>232</v>
      </c>
      <c r="U1" s="6"/>
      <c r="X1" s="88" t="s">
        <v>28</v>
      </c>
      <c r="Y1" s="6"/>
      <c r="AC1" s="88"/>
      <c r="AD1" s="6"/>
      <c r="AG1" s="88" t="s">
        <v>31</v>
      </c>
      <c r="AH1" s="6"/>
    </row>
    <row r="2">
      <c r="A2" s="1">
        <v>2025.0</v>
      </c>
      <c r="B2" s="110">
        <v>13325.0</v>
      </c>
      <c r="F2" s="1">
        <v>2025.0</v>
      </c>
      <c r="G2" s="139">
        <v>9723.0</v>
      </c>
      <c r="I2" s="197">
        <v>2025.0</v>
      </c>
      <c r="J2" s="198">
        <v>228.0</v>
      </c>
      <c r="N2" s="1">
        <v>2025.0</v>
      </c>
      <c r="O2" s="199">
        <v>3602.0</v>
      </c>
      <c r="Q2" s="173" t="s">
        <v>26</v>
      </c>
      <c r="R2" s="173">
        <v>2376.0</v>
      </c>
      <c r="T2" s="197">
        <v>2025.0</v>
      </c>
      <c r="U2" s="200">
        <v>327.0</v>
      </c>
      <c r="X2" s="1">
        <v>2025.0</v>
      </c>
      <c r="Y2" s="199">
        <v>6377.0</v>
      </c>
      <c r="AD2" s="109"/>
      <c r="AG2" s="1">
        <v>2025.0</v>
      </c>
      <c r="AH2" s="199">
        <v>19161.0</v>
      </c>
    </row>
    <row r="3">
      <c r="A3" s="1">
        <v>2024.0</v>
      </c>
      <c r="B3" s="110">
        <v>8234.0</v>
      </c>
      <c r="F3" s="1">
        <v>2024.0</v>
      </c>
      <c r="G3" s="176">
        <v>5858.0</v>
      </c>
      <c r="I3" s="201">
        <v>2024.0</v>
      </c>
      <c r="J3" s="198">
        <v>599.0</v>
      </c>
      <c r="N3" s="1">
        <v>2024.0</v>
      </c>
      <c r="O3" s="139">
        <v>2376.0</v>
      </c>
      <c r="Q3" s="173" t="s">
        <v>62</v>
      </c>
      <c r="R3" s="173">
        <v>937.0</v>
      </c>
      <c r="T3" s="197">
        <v>2024.0</v>
      </c>
      <c r="U3" s="200">
        <v>748.0</v>
      </c>
      <c r="X3" s="1">
        <v>2024.0</v>
      </c>
      <c r="Y3" s="139">
        <v>1545.0</v>
      </c>
      <c r="AD3" s="139"/>
      <c r="AG3" s="1">
        <v>2024.0</v>
      </c>
      <c r="AH3" s="139">
        <v>7683.0</v>
      </c>
    </row>
    <row r="4">
      <c r="B4" s="95">
        <f>(B2-B3)/B3*100%</f>
        <v>0.618290017</v>
      </c>
      <c r="G4" s="95">
        <f>(G2-G3)/G3*100%</f>
        <v>0.6597814954</v>
      </c>
      <c r="I4" s="202"/>
      <c r="J4" s="203">
        <f>(J2-J3)/J3*100%</f>
        <v>-0.6193656093</v>
      </c>
      <c r="O4" s="95">
        <f>(O2-O3)/O3*100%</f>
        <v>0.515993266</v>
      </c>
      <c r="Q4" s="173" t="s">
        <v>63</v>
      </c>
      <c r="R4" s="173">
        <v>563.0</v>
      </c>
      <c r="T4" s="204"/>
      <c r="U4" s="203">
        <f>(U2-U3)/U3*100%</f>
        <v>-0.5628342246</v>
      </c>
      <c r="Y4" s="95">
        <f>(Y2-Y3)/Y3*100%</f>
        <v>3.127508091</v>
      </c>
      <c r="AD4" s="95"/>
      <c r="AH4" s="95">
        <f>(AH2-AH3)/AH3*100%</f>
        <v>1.493947677</v>
      </c>
    </row>
    <row r="5">
      <c r="Q5" s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="S28" s="180">
        <v>2024.0</v>
      </c>
    </row>
    <row r="29">
      <c r="A29" s="166">
        <v>2024.0</v>
      </c>
      <c r="B29" s="166"/>
      <c r="C29" s="166"/>
      <c r="D29" s="166"/>
      <c r="H29" s="166"/>
      <c r="I29" s="166">
        <v>2025.0</v>
      </c>
      <c r="J29" s="166"/>
      <c r="S29" s="71"/>
      <c r="T29" s="17" t="s">
        <v>4</v>
      </c>
      <c r="U29" s="17" t="s">
        <v>6</v>
      </c>
      <c r="V29" s="17" t="s">
        <v>7</v>
      </c>
    </row>
    <row r="30">
      <c r="A30" s="181"/>
      <c r="B30" s="182" t="s">
        <v>237</v>
      </c>
      <c r="C30" s="182" t="s">
        <v>238</v>
      </c>
      <c r="D30" s="182" t="s">
        <v>239</v>
      </c>
      <c r="E30" s="182" t="s">
        <v>240</v>
      </c>
      <c r="F30" s="182" t="s">
        <v>29</v>
      </c>
      <c r="G30" s="182" t="s">
        <v>31</v>
      </c>
      <c r="I30" s="183"/>
      <c r="J30" s="182" t="s">
        <v>242</v>
      </c>
      <c r="K30" s="182" t="s">
        <v>243</v>
      </c>
      <c r="L30" s="182" t="s">
        <v>27</v>
      </c>
      <c r="M30" s="182" t="s">
        <v>28</v>
      </c>
      <c r="N30" s="182" t="s">
        <v>29</v>
      </c>
      <c r="O30" s="182" t="s">
        <v>31</v>
      </c>
      <c r="S30" s="71" t="s">
        <v>62</v>
      </c>
      <c r="T30" s="69"/>
      <c r="U30" s="107">
        <v>52.0</v>
      </c>
      <c r="V30" s="107">
        <v>53.0</v>
      </c>
    </row>
    <row r="31">
      <c r="A31" s="184" t="s">
        <v>4</v>
      </c>
      <c r="B31" s="69">
        <v>391.0</v>
      </c>
      <c r="C31" s="69">
        <v>155.0</v>
      </c>
      <c r="D31" s="69">
        <v>236.0</v>
      </c>
      <c r="E31" s="69">
        <v>105.0</v>
      </c>
      <c r="F31" s="69">
        <v>1657.0</v>
      </c>
      <c r="G31" s="69">
        <v>132.0</v>
      </c>
      <c r="I31" s="19" t="s">
        <v>4</v>
      </c>
      <c r="J31" s="69">
        <v>787.0</v>
      </c>
      <c r="K31" s="69">
        <v>246.0</v>
      </c>
      <c r="L31" s="69">
        <v>541.0</v>
      </c>
      <c r="M31" s="69">
        <v>240.0</v>
      </c>
      <c r="N31" s="69">
        <v>2235.0</v>
      </c>
      <c r="O31" s="69">
        <v>306.0</v>
      </c>
      <c r="S31" s="71" t="s">
        <v>63</v>
      </c>
      <c r="T31" s="69"/>
      <c r="U31" s="107">
        <v>40.0</v>
      </c>
      <c r="V31" s="107">
        <v>76.0</v>
      </c>
    </row>
    <row r="32">
      <c r="A32" s="184" t="s">
        <v>6</v>
      </c>
      <c r="B32" s="69">
        <v>353.0</v>
      </c>
      <c r="C32" s="69">
        <v>113.0</v>
      </c>
      <c r="D32" s="69">
        <v>240.0</v>
      </c>
      <c r="E32" s="69">
        <v>88.0</v>
      </c>
      <c r="F32" s="69">
        <v>1696.0</v>
      </c>
      <c r="G32" s="69">
        <v>251.0</v>
      </c>
      <c r="I32" s="19" t="s">
        <v>6</v>
      </c>
      <c r="J32" s="69">
        <v>749.0</v>
      </c>
      <c r="K32" s="69">
        <v>178.0</v>
      </c>
      <c r="L32" s="69">
        <v>571.0</v>
      </c>
      <c r="M32" s="69">
        <v>328.0</v>
      </c>
      <c r="N32" s="69">
        <v>2235.0</v>
      </c>
      <c r="O32" s="69">
        <v>721.0</v>
      </c>
      <c r="S32" s="71" t="s">
        <v>64</v>
      </c>
      <c r="T32" s="69"/>
      <c r="U32" s="107">
        <v>21.0</v>
      </c>
      <c r="V32" s="107">
        <v>11.0</v>
      </c>
    </row>
    <row r="33">
      <c r="A33" s="184" t="s">
        <v>7</v>
      </c>
      <c r="B33" s="69">
        <v>433.0</v>
      </c>
      <c r="C33" s="69">
        <v>177.0</v>
      </c>
      <c r="D33" s="69">
        <v>256.0</v>
      </c>
      <c r="E33" s="69">
        <v>81.0</v>
      </c>
      <c r="F33" s="69">
        <v>1780.0</v>
      </c>
      <c r="G33" s="69">
        <v>149.0</v>
      </c>
      <c r="I33" s="19" t="s">
        <v>7</v>
      </c>
      <c r="J33" s="69">
        <v>1048.0</v>
      </c>
      <c r="K33" s="69">
        <v>243.0</v>
      </c>
      <c r="L33" s="69">
        <v>805.0</v>
      </c>
      <c r="M33" s="69">
        <v>219.0</v>
      </c>
      <c r="N33" s="69">
        <v>2234.0</v>
      </c>
      <c r="O33" s="69">
        <v>611.0</v>
      </c>
    </row>
    <row r="34">
      <c r="A34" s="185" t="s">
        <v>17</v>
      </c>
      <c r="B34" s="186">
        <f t="shared" ref="B34:E34" si="1">SUM(B30:B33)</f>
        <v>1177</v>
      </c>
      <c r="C34" s="186">
        <f t="shared" si="1"/>
        <v>445</v>
      </c>
      <c r="D34" s="186">
        <f t="shared" si="1"/>
        <v>732</v>
      </c>
      <c r="E34" s="186">
        <f t="shared" si="1"/>
        <v>274</v>
      </c>
      <c r="F34" s="187">
        <v>1780.0</v>
      </c>
      <c r="G34" s="186">
        <f>SUM(G30:G33)</f>
        <v>532</v>
      </c>
      <c r="H34" s="65"/>
      <c r="I34" s="185" t="s">
        <v>17</v>
      </c>
      <c r="J34" s="186">
        <f t="shared" ref="J34:M34" si="2">SUM(J30:J33)</f>
        <v>2584</v>
      </c>
      <c r="K34" s="186">
        <f t="shared" si="2"/>
        <v>667</v>
      </c>
      <c r="L34" s="186">
        <f t="shared" si="2"/>
        <v>1917</v>
      </c>
      <c r="M34" s="186">
        <f t="shared" si="2"/>
        <v>787</v>
      </c>
      <c r="N34" s="187">
        <v>2234.0</v>
      </c>
      <c r="O34" s="186">
        <f>SUM(O30:O33)</f>
        <v>1638</v>
      </c>
      <c r="S34" s="180">
        <v>2025.0</v>
      </c>
    </row>
    <row r="35">
      <c r="A35" s="9"/>
      <c r="B35" s="65"/>
      <c r="C35" s="65"/>
      <c r="D35" s="65"/>
      <c r="G35" s="188"/>
      <c r="H35" s="189"/>
      <c r="I35" s="65"/>
      <c r="J35" s="65"/>
      <c r="S35" s="71"/>
      <c r="T35" s="17" t="s">
        <v>4</v>
      </c>
      <c r="U35" s="17" t="s">
        <v>6</v>
      </c>
      <c r="V35" s="17" t="s">
        <v>7</v>
      </c>
    </row>
    <row r="36">
      <c r="A36" s="9"/>
      <c r="B36" s="65"/>
      <c r="C36" s="65"/>
      <c r="D36" s="65"/>
      <c r="G36" s="188"/>
      <c r="H36" s="65"/>
      <c r="I36" s="65"/>
      <c r="J36" s="65"/>
      <c r="S36" s="71" t="s">
        <v>62</v>
      </c>
      <c r="T36" s="190">
        <v>121.0</v>
      </c>
      <c r="U36" s="190">
        <v>67.0</v>
      </c>
      <c r="V36" s="190">
        <v>62.0</v>
      </c>
    </row>
    <row r="37">
      <c r="S37" s="71" t="s">
        <v>63</v>
      </c>
      <c r="T37" s="190">
        <v>43.0</v>
      </c>
      <c r="U37" s="190">
        <v>51.0</v>
      </c>
      <c r="V37" s="190">
        <v>48.0</v>
      </c>
    </row>
    <row r="38">
      <c r="S38" s="71" t="s">
        <v>64</v>
      </c>
      <c r="T38" s="190">
        <v>9.0</v>
      </c>
      <c r="U38" s="190">
        <v>20.0</v>
      </c>
      <c r="V38" s="190">
        <v>54.0</v>
      </c>
      <c r="W38" s="9"/>
    </row>
    <row r="39">
      <c r="W39" s="9"/>
    </row>
    <row r="40">
      <c r="W40" s="9"/>
    </row>
    <row r="41">
      <c r="W41" s="9"/>
    </row>
    <row r="43">
      <c r="A43" s="88" t="s">
        <v>245</v>
      </c>
      <c r="B43" s="6"/>
      <c r="D43" s="88" t="s">
        <v>246</v>
      </c>
      <c r="E43" s="6"/>
      <c r="G43" s="88" t="s">
        <v>247</v>
      </c>
      <c r="H43" s="6"/>
      <c r="K43" s="88" t="s">
        <v>248</v>
      </c>
      <c r="L43" s="6"/>
      <c r="W43" s="9"/>
    </row>
    <row r="44">
      <c r="A44" s="1">
        <v>2024.0</v>
      </c>
      <c r="B44" s="109">
        <v>1177.0</v>
      </c>
      <c r="D44" s="1">
        <v>2024.0</v>
      </c>
      <c r="E44" s="139">
        <v>732.0</v>
      </c>
      <c r="G44" s="1">
        <v>2024.0</v>
      </c>
      <c r="H44" s="176">
        <v>445.0</v>
      </c>
      <c r="K44" s="1">
        <v>2024.0</v>
      </c>
      <c r="L44" s="139">
        <v>274.0</v>
      </c>
      <c r="W44" s="9"/>
    </row>
    <row r="45">
      <c r="A45" s="1">
        <v>2025.0</v>
      </c>
      <c r="B45" s="109">
        <v>2584.0</v>
      </c>
      <c r="D45" s="1">
        <v>2025.0</v>
      </c>
      <c r="E45" s="139">
        <v>1917.0</v>
      </c>
      <c r="G45" s="1">
        <v>2025.0</v>
      </c>
      <c r="H45" s="176">
        <v>667.0</v>
      </c>
      <c r="K45" s="1">
        <v>2025.0</v>
      </c>
      <c r="L45" s="139">
        <v>787.0</v>
      </c>
      <c r="W45" s="9"/>
    </row>
    <row r="46">
      <c r="B46" s="95">
        <f>(B45-B44)/B44*100%</f>
        <v>1.195412065</v>
      </c>
      <c r="E46" s="95">
        <f>(E45-E44)/E44*100%</f>
        <v>1.618852459</v>
      </c>
      <c r="H46" s="95">
        <f>(H45-H44)/H44*100%</f>
        <v>0.4988764045</v>
      </c>
      <c r="L46" s="95">
        <f>(L45-L44)/L44*100%</f>
        <v>1.872262774</v>
      </c>
      <c r="W46" s="9"/>
    </row>
    <row r="50">
      <c r="W50" s="9"/>
    </row>
    <row r="51">
      <c r="W51" s="9"/>
    </row>
    <row r="52">
      <c r="W52" s="9"/>
    </row>
    <row r="53">
      <c r="W53" s="9"/>
    </row>
    <row r="72">
      <c r="B72" s="149"/>
    </row>
  </sheetData>
  <mergeCells count="14">
    <mergeCell ref="T1:U1"/>
    <mergeCell ref="S28:V28"/>
    <mergeCell ref="S34:V34"/>
    <mergeCell ref="A43:B43"/>
    <mergeCell ref="D43:E43"/>
    <mergeCell ref="G43:H43"/>
    <mergeCell ref="K43:L43"/>
    <mergeCell ref="A1:B1"/>
    <mergeCell ref="F1:G1"/>
    <mergeCell ref="I1:J1"/>
    <mergeCell ref="N1:O1"/>
    <mergeCell ref="X1:Y1"/>
    <mergeCell ref="AC1:AD1"/>
    <mergeCell ref="AG1:AH1"/>
  </mergeCells>
  <conditionalFormatting sqref="T32:V32 B35:D35">
    <cfRule type="colorScale" priority="1">
      <colorScale>
        <cfvo type="min"/>
        <cfvo type="percentile" val="50"/>
        <cfvo type="max"/>
        <color rgb="FFFFFFFF"/>
        <color rgb="FF00FF00"/>
        <color rgb="FF6AA84F"/>
      </colorScale>
    </cfRule>
  </conditionalFormatting>
  <conditionalFormatting sqref="B36:D36">
    <cfRule type="colorScale" priority="2">
      <colorScale>
        <cfvo type="min"/>
        <cfvo type="percentile" val="50"/>
        <cfvo type="max"/>
        <color rgb="FFFFFFFF"/>
        <color rgb="FF00FF00"/>
        <color rgb="FF6AA84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"/>
      <c r="B3" s="85">
        <v>4.0</v>
      </c>
    </row>
    <row r="4">
      <c r="A4" s="9"/>
      <c r="B4" s="85">
        <v>1.0</v>
      </c>
    </row>
    <row r="5">
      <c r="A5" s="9"/>
      <c r="B5" s="85">
        <v>130.0</v>
      </c>
    </row>
    <row r="6">
      <c r="A6" s="9"/>
      <c r="B6" s="85">
        <v>407.0</v>
      </c>
    </row>
    <row r="7">
      <c r="A7" s="9"/>
      <c r="B7" s="85">
        <v>34.0</v>
      </c>
    </row>
    <row r="8">
      <c r="A8" s="9"/>
      <c r="B8" s="85">
        <v>6.0</v>
      </c>
    </row>
    <row r="9">
      <c r="A9" s="9"/>
      <c r="B9" s="85">
        <v>131.0</v>
      </c>
    </row>
    <row r="10">
      <c r="A10" s="9"/>
      <c r="B10" s="85">
        <v>266.0</v>
      </c>
    </row>
    <row r="11">
      <c r="A11" s="9"/>
      <c r="B11" s="85">
        <v>8.0</v>
      </c>
    </row>
    <row r="12">
      <c r="A12" s="9"/>
      <c r="B12" s="85">
        <v>6.0</v>
      </c>
    </row>
    <row r="13">
      <c r="A13" s="9"/>
      <c r="B13" s="85">
        <v>27.0</v>
      </c>
    </row>
    <row r="14">
      <c r="A14" s="9"/>
      <c r="B14" s="85">
        <v>18.0</v>
      </c>
    </row>
    <row r="15">
      <c r="A15" s="9"/>
      <c r="B15" s="85">
        <v>29.0</v>
      </c>
    </row>
    <row r="16">
      <c r="A16" s="9"/>
      <c r="B16" s="85">
        <v>12.0</v>
      </c>
    </row>
    <row r="17">
      <c r="A17" s="9"/>
      <c r="B17" s="9"/>
    </row>
    <row r="18">
      <c r="A18" s="9" t="s">
        <v>233</v>
      </c>
      <c r="B18" s="178">
        <f>SUM(B3:B16)</f>
        <v>1079</v>
      </c>
    </row>
    <row r="19">
      <c r="A19" s="9"/>
      <c r="B19" s="9"/>
    </row>
    <row r="20">
      <c r="A20" s="9"/>
      <c r="B20" s="9"/>
    </row>
    <row r="21">
      <c r="A21" s="9"/>
      <c r="B21" s="9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85">
        <v>187.0</v>
      </c>
    </row>
    <row r="26">
      <c r="A26" s="9"/>
      <c r="B26" s="85">
        <v>453.0</v>
      </c>
    </row>
    <row r="27">
      <c r="A27" s="9"/>
      <c r="B27" s="85">
        <v>38.0</v>
      </c>
    </row>
    <row r="28">
      <c r="A28" s="9"/>
      <c r="B28" s="85">
        <v>13.0</v>
      </c>
    </row>
    <row r="29">
      <c r="A29" s="9"/>
      <c r="B29" s="85">
        <v>132.0</v>
      </c>
    </row>
    <row r="30">
      <c r="A30" s="9"/>
      <c r="B30" s="85">
        <v>283.0</v>
      </c>
    </row>
    <row r="31">
      <c r="A31" s="9"/>
      <c r="B31" s="85">
        <v>12.0</v>
      </c>
    </row>
    <row r="32">
      <c r="A32" s="9"/>
      <c r="B32" s="85">
        <v>12.0</v>
      </c>
    </row>
    <row r="33">
      <c r="A33" s="9"/>
      <c r="B33" s="85">
        <v>30.0</v>
      </c>
    </row>
    <row r="34">
      <c r="A34" s="9"/>
      <c r="B34" s="85">
        <v>14.0</v>
      </c>
    </row>
    <row r="35">
      <c r="A35" s="9"/>
      <c r="B35" s="85">
        <v>42.0</v>
      </c>
    </row>
    <row r="36">
      <c r="A36" s="9"/>
      <c r="B36" s="85">
        <v>28.0</v>
      </c>
    </row>
    <row r="37">
      <c r="A37" s="9"/>
      <c r="B37" s="9"/>
    </row>
    <row r="38">
      <c r="A38" s="9" t="s">
        <v>234</v>
      </c>
      <c r="B38" s="178">
        <f>SUM(B25:B36)</f>
        <v>1244</v>
      </c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85">
        <v>46.0</v>
      </c>
    </row>
    <row r="45">
      <c r="A45" s="9"/>
      <c r="B45" s="85">
        <v>41.0</v>
      </c>
    </row>
    <row r="46">
      <c r="A46" s="9"/>
      <c r="B46" s="85">
        <v>131.0</v>
      </c>
    </row>
    <row r="47">
      <c r="A47" s="9"/>
      <c r="B47" s="85">
        <v>36.0</v>
      </c>
    </row>
    <row r="48">
      <c r="A48" s="9"/>
      <c r="B48" s="85">
        <v>27.0</v>
      </c>
    </row>
    <row r="49">
      <c r="A49" s="9"/>
      <c r="B49" s="85">
        <v>177.0</v>
      </c>
    </row>
    <row r="50">
      <c r="A50" s="9"/>
      <c r="B50" s="85">
        <v>28.0</v>
      </c>
    </row>
    <row r="51">
      <c r="A51" s="9"/>
      <c r="B51" s="85">
        <v>17.0</v>
      </c>
    </row>
    <row r="52">
      <c r="A52" s="9"/>
      <c r="B52" s="85">
        <v>7.0</v>
      </c>
    </row>
    <row r="53">
      <c r="A53" s="9"/>
      <c r="B53" s="85">
        <v>316.0</v>
      </c>
    </row>
    <row r="54">
      <c r="A54" s="9"/>
      <c r="B54" s="85">
        <v>21.0</v>
      </c>
    </row>
    <row r="55">
      <c r="A55" s="9"/>
      <c r="B55" s="85">
        <v>492.0</v>
      </c>
    </row>
    <row r="56">
      <c r="A56" s="9" t="s">
        <v>235</v>
      </c>
      <c r="B56" s="85">
        <f>SUM(B44:B55)</f>
        <v>1339</v>
      </c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85">
        <v>1.0</v>
      </c>
    </row>
    <row r="66">
      <c r="A66" s="9"/>
      <c r="B66" s="85">
        <v>86.0</v>
      </c>
    </row>
    <row r="67">
      <c r="A67" s="9"/>
      <c r="B67" s="85">
        <v>55.0</v>
      </c>
    </row>
    <row r="68">
      <c r="A68" s="9"/>
      <c r="B68" s="85">
        <v>89.0</v>
      </c>
    </row>
    <row r="69">
      <c r="A69" s="9"/>
      <c r="B69" s="85">
        <v>48.0</v>
      </c>
    </row>
    <row r="70">
      <c r="A70" s="9" t="s">
        <v>236</v>
      </c>
      <c r="B70" s="178">
        <f>SUM(B65:B69)</f>
        <v>279</v>
      </c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85">
        <v>80.0</v>
      </c>
    </row>
    <row r="75">
      <c r="A75" s="9"/>
      <c r="B75" s="85">
        <v>111.0</v>
      </c>
    </row>
    <row r="76">
      <c r="A76" s="9"/>
      <c r="B76" s="85">
        <v>63.0</v>
      </c>
    </row>
    <row r="77">
      <c r="A77" s="9"/>
      <c r="B77" s="85">
        <v>125.0</v>
      </c>
    </row>
    <row r="78">
      <c r="A78" s="9" t="s">
        <v>241</v>
      </c>
      <c r="B78" s="178">
        <f>SUM(B74:B77)</f>
        <v>379</v>
      </c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85">
        <v>102.0</v>
      </c>
    </row>
    <row r="90">
      <c r="A90" s="9"/>
      <c r="B90" s="85">
        <v>68.0</v>
      </c>
    </row>
    <row r="91">
      <c r="A91" s="9"/>
      <c r="B91" s="85">
        <v>114.0</v>
      </c>
    </row>
    <row r="92">
      <c r="A92" s="9"/>
      <c r="B92" s="85">
        <v>61.0</v>
      </c>
    </row>
    <row r="93">
      <c r="A93" s="9" t="s">
        <v>244</v>
      </c>
      <c r="B93" s="178">
        <f>SUM(B89:B92)</f>
        <v>345</v>
      </c>
    </row>
    <row r="94">
      <c r="A94" s="9"/>
      <c r="B94" s="9"/>
    </row>
  </sheetData>
  <drawing r:id="rId1"/>
</worksheet>
</file>